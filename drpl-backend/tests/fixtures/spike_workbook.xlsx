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Cost Assumptions" sheetId="2" state="visible" r:id="rId2"/>
    <sheet xmlns:r="http://schemas.openxmlformats.org/officeDocument/2006/relationships" name="3. All Schedules" sheetId="3" state="visible" r:id="rId3"/>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9">
    <font>
      <name val="Calibri"/>
      <family val="2"/>
      <color theme="1"/>
      <sz val="11"/>
      <scheme val="minor"/>
    </font>
    <font>
      <b val="1"/>
      <sz val="14"/>
    </font>
    <font>
      <b val="1"/>
      <color rgb="001F4E78"/>
      <sz val="12"/>
    </font>
    <font>
      <b val="1"/>
    </font>
    <font>
      <b val="1"/>
      <color rgb="00FFFFFF"/>
      <sz val="11"/>
    </font>
    <font>
      <b val="1"/>
      <sz val="11"/>
    </font>
    <font>
      <b val="1"/>
      <sz val="12"/>
    </font>
    <font>
      <b val="1"/>
      <i val="1"/>
      <color rgb="001F4E78"/>
    </font>
    <font>
      <color rgb="000563C1"/>
      <u val="single"/>
    </font>
  </fonts>
  <fills count="4">
    <fill>
      <patternFill/>
    </fill>
    <fill>
      <patternFill patternType="gray125"/>
    </fill>
    <fill>
      <patternFill patternType="solid">
        <fgColor rgb="001F4E78"/>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0" fillId="0" borderId="1" applyAlignment="1" pivotButton="0" quotePrefix="0" xfId="0">
      <alignment horizontal="left" wrapText="1"/>
    </xf>
    <xf numFmtId="0" fontId="0" fillId="0" borderId="4" pivotButton="0" quotePrefix="0" xfId="0"/>
    <xf numFmtId="0" fontId="0" fillId="0" borderId="5" pivotButton="0" quotePrefix="0" xfId="0"/>
    <xf numFmtId="0" fontId="4" fillId="2" borderId="1" applyAlignment="1" pivotButton="0" quotePrefix="0" xfId="0">
      <alignment horizontal="center" vertical="center"/>
    </xf>
    <xf numFmtId="0" fontId="0" fillId="0" borderId="1" pivotButton="0" quotePrefix="0" xfId="0"/>
    <xf numFmtId="164" fontId="0" fillId="0" borderId="1" applyAlignment="1" pivotButton="0" quotePrefix="0" xfId="0">
      <alignment horizontal="right"/>
    </xf>
    <xf numFmtId="165" fontId="0" fillId="0" borderId="1" applyAlignment="1" pivotButton="0" quotePrefix="0" xfId="0">
      <alignment horizontal="right"/>
    </xf>
    <xf numFmtId="0" fontId="5" fillId="3" borderId="1" pivotButton="0" quotePrefix="0" xfId="0"/>
    <xf numFmtId="164" fontId="5" fillId="3" borderId="1" applyAlignment="1" pivotButton="0" quotePrefix="0" xfId="0">
      <alignment horizontal="right"/>
    </xf>
    <xf numFmtId="165" fontId="5" fillId="3" borderId="1" applyAlignment="1" pivotButton="0" quotePrefix="0" xfId="0">
      <alignment horizontal="right"/>
    </xf>
    <xf numFmtId="0" fontId="6" fillId="0" borderId="0" pivotButton="0" quotePrefix="0" xfId="0"/>
    <xf numFmtId="0" fontId="4" fillId="2" borderId="1" pivotButton="0" quotePrefix="0" xfId="0"/>
    <xf numFmtId="4" fontId="0" fillId="0" borderId="1" pivotButton="0" quotePrefix="0" xfId="0"/>
    <xf numFmtId="0" fontId="5" fillId="0" borderId="1" pivotButton="0" quotePrefix="0" xfId="0"/>
    <xf numFmtId="0" fontId="5" fillId="0" borderId="0" pivotButton="0" quotePrefix="0" xfId="0"/>
    <xf numFmtId="4" fontId="0" fillId="0" borderId="0" pivotButton="0" quotePrefix="0" xfId="0"/>
    <xf numFmtId="0" fontId="0" fillId="0" borderId="0" applyAlignment="1" pivotButton="0" quotePrefix="0" xfId="0">
      <alignment horizontal="left" wrapText="1"/>
    </xf>
    <xf numFmtId="0" fontId="7" fillId="0" borderId="0" applyAlignment="1" pivotButton="0" quotePrefix="0" xfId="0">
      <alignment horizontal="left" wrapText="1"/>
    </xf>
    <xf numFmtId="0" fontId="2" fillId="3" borderId="0" pivotButton="0" quotePrefix="0" xfId="0"/>
    <xf numFmtId="0" fontId="0" fillId="0" borderId="1" applyAlignment="1" pivotButton="0" quotePrefix="0" xfId="0">
      <alignment horizontal="left" vertical="top" wrapText="1"/>
    </xf>
    <xf numFmtId="0" fontId="2" fillId="3" borderId="1" applyAlignment="1" pivotButton="0" quotePrefix="0" xfId="0">
      <alignment horizontal="left" vertical="center"/>
    </xf>
    <xf numFmtId="0" fontId="4" fillId="2" borderId="1" applyAlignment="1" pivotButton="0" quotePrefix="0" xfId="0">
      <alignment horizontal="center" vertical="center" wrapText="1"/>
    </xf>
    <xf numFmtId="0" fontId="0" fillId="0" borderId="1" applyAlignment="1" pivotButton="0" quotePrefix="0" xfId="0">
      <alignment horizontal="center"/>
    </xf>
    <xf numFmtId="4" fontId="0" fillId="0" borderId="1" applyAlignment="1" pivotButton="0" quotePrefix="0" xfId="0">
      <alignment horizontal="right"/>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indiamart.com" TargetMode="External" Id="rId1"/></Relationships>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2" customWidth="1" min="1" max="1"/>
    <col width="28" customWidth="1" min="2" max="2"/>
    <col width="22" customWidth="1" min="3" max="3"/>
    <col width="22" customWidth="1" min="4" max="4"/>
    <col width="22" customWidth="1" min="5" max="5"/>
    <col width="22" customWidth="1" min="6" max="6"/>
  </cols>
  <sheetData>
    <row r="1">
      <c r="A1" s="1" t="inlineStr">
        <is>
          <t>Cost Breakdown — Tender #3808</t>
        </is>
      </c>
    </row>
    <row r="3">
      <c r="A3" s="2" t="inlineStr">
        <is>
          <t>TENDER SNAPSHOT</t>
        </is>
      </c>
    </row>
    <row r="4">
      <c r="A4" s="3" t="inlineStr">
        <is>
          <t>Tender No.</t>
        </is>
      </c>
      <c r="B4" s="4" t="inlineStr">
        <is>
          <t>cc-40c7a1ac</t>
        </is>
      </c>
      <c r="C4" s="5" t="n"/>
      <c r="D4" s="5" t="n"/>
      <c r="E4" s="5" t="n"/>
      <c r="F4" s="6" t="n"/>
    </row>
    <row r="5">
      <c r="A5" s="3" t="inlineStr">
        <is>
          <t>Scope</t>
        </is>
      </c>
      <c r="B5" s="4" t="inlineStr">
        <is>
          <t>New Session</t>
        </is>
      </c>
      <c r="C5" s="5" t="n"/>
      <c r="D5" s="5" t="n"/>
      <c r="E5" s="5" t="n"/>
      <c r="F5" s="6" t="n"/>
    </row>
    <row r="7">
      <c r="A7" s="2" t="inlineStr">
        <is>
          <t>SCHEDULE-WISE PROFITABILITY</t>
        </is>
      </c>
    </row>
    <row r="8">
      <c r="A8" s="7" t="inlineStr">
        <is>
          <t>Schedule</t>
        </is>
      </c>
      <c r="B8" s="7" t="inlineStr">
        <is>
          <t>Tender Value (₹)</t>
        </is>
      </c>
      <c r="C8" s="7" t="inlineStr">
        <is>
          <t>Estimated Cost (₹)</t>
        </is>
      </c>
      <c r="D8" s="7" t="inlineStr">
        <is>
          <t>Gross Margin (₹)</t>
        </is>
      </c>
      <c r="E8" s="7" t="inlineStr">
        <is>
          <t>GM %</t>
        </is>
      </c>
    </row>
    <row r="9">
      <c r="A9" s="8" t="inlineStr">
        <is>
          <t>Schedule A</t>
        </is>
      </c>
      <c r="B9" s="9" t="n">
        <v>22356965.26</v>
      </c>
      <c r="C9" s="9" t="n">
        <v>26530661.34</v>
      </c>
      <c r="D9" s="9" t="n">
        <v>-4173696.08</v>
      </c>
      <c r="E9" s="10" t="n">
        <v>-18.67</v>
      </c>
    </row>
    <row r="10">
      <c r="A10" s="8" t="inlineStr">
        <is>
          <t>Schedule B</t>
        </is>
      </c>
      <c r="B10" s="9" t="n">
        <v>16410423.62</v>
      </c>
      <c r="C10" s="9" t="n">
        <v>12555263.82</v>
      </c>
      <c r="D10" s="9" t="n">
        <v>3855159.8</v>
      </c>
      <c r="E10" s="10" t="n">
        <v>23.49</v>
      </c>
    </row>
    <row r="11">
      <c r="A11" s="8" t="inlineStr">
        <is>
          <t>Schedule BELTS SPARES</t>
        </is>
      </c>
      <c r="B11" s="9" t="n">
        <v>0</v>
      </c>
      <c r="C11" s="9" t="n">
        <v>6265</v>
      </c>
      <c r="D11" s="9" t="n">
        <v>-6265</v>
      </c>
      <c r="E11" s="10" t="n">
        <v>0</v>
      </c>
    </row>
    <row r="12">
      <c r="A12" s="8" t="inlineStr">
        <is>
          <t>Schedule C</t>
        </is>
      </c>
      <c r="B12" s="9" t="n">
        <v>3</v>
      </c>
      <c r="C12" s="9" t="n">
        <v>3600000</v>
      </c>
      <c r="D12" s="9" t="n">
        <v>-3599997</v>
      </c>
      <c r="E12" s="10" t="n">
        <v>-119999900</v>
      </c>
    </row>
    <row r="13">
      <c r="A13" s="8" t="inlineStr">
        <is>
          <t>Schedule ELECTRICAL AND PNEUMATIC SPARES FOR DETC</t>
        </is>
      </c>
      <c r="B13" s="9" t="n">
        <v>0</v>
      </c>
      <c r="C13" s="9" t="n">
        <v>105938.79</v>
      </c>
      <c r="D13" s="9" t="n">
        <v>-105938.79</v>
      </c>
      <c r="E13" s="10" t="n">
        <v>0</v>
      </c>
    </row>
    <row r="14">
      <c r="A14" s="8" t="inlineStr">
        <is>
          <t>Schedule HYDRAULIC HOSES</t>
        </is>
      </c>
      <c r="B14" s="9" t="n">
        <v>0</v>
      </c>
      <c r="C14" s="9" t="n">
        <v>54427.3</v>
      </c>
      <c r="D14" s="9" t="n">
        <v>-54427.3</v>
      </c>
      <c r="E14" s="10" t="n">
        <v>0</v>
      </c>
    </row>
    <row r="15">
      <c r="A15" s="8" t="inlineStr">
        <is>
          <t>Schedule PNEUMATIC HOSES</t>
        </is>
      </c>
      <c r="B15" s="9" t="n">
        <v>0</v>
      </c>
      <c r="C15" s="9" t="n">
        <v>28116.83</v>
      </c>
      <c r="D15" s="9" t="n">
        <v>-28116.83</v>
      </c>
      <c r="E15" s="10" t="n">
        <v>0</v>
      </c>
    </row>
    <row r="16">
      <c r="A16" s="8" t="inlineStr">
        <is>
          <t>Schedule SPARES FOR DG SET</t>
        </is>
      </c>
      <c r="B16" s="9" t="n">
        <v>0</v>
      </c>
      <c r="C16" s="9" t="n">
        <v>20969.77</v>
      </c>
      <c r="D16" s="9" t="n">
        <v>-20969.77</v>
      </c>
      <c r="E16" s="10" t="n">
        <v>0</v>
      </c>
    </row>
    <row r="17">
      <c r="A17" s="8" t="inlineStr">
        <is>
          <t>Schedule SPARES OF LIFTING PLATFORM</t>
        </is>
      </c>
      <c r="B17" s="9" t="n">
        <v>0</v>
      </c>
      <c r="C17" s="9" t="n">
        <v>117917.11</v>
      </c>
      <c r="D17" s="9" t="n">
        <v>-117917.11</v>
      </c>
      <c r="E17" s="10" t="n">
        <v>0</v>
      </c>
    </row>
    <row r="18">
      <c r="A18" s="11" t="inlineStr">
        <is>
          <t>TOTAL CONTRACT</t>
        </is>
      </c>
      <c r="B18" s="12" t="n">
        <v>38767391.88</v>
      </c>
      <c r="C18" s="12" t="n">
        <v>43019559.95999999</v>
      </c>
      <c r="D18" s="12" t="n">
        <v>-4252168.08</v>
      </c>
      <c r="E18" s="13" t="n">
        <v>-10.96841410730466</v>
      </c>
    </row>
    <row r="20">
      <c r="A20" s="14" t="inlineStr">
        <is>
          <t>Reconciliation</t>
        </is>
      </c>
    </row>
    <row r="21">
      <c r="A21" s="15" t="inlineStr">
        <is>
          <t>Schedule</t>
        </is>
      </c>
      <c r="B21" s="15" t="inlineStr">
        <is>
          <t>Line Sum (₹)</t>
        </is>
      </c>
      <c r="C21" s="15" t="inlineStr">
        <is>
          <t>Stated Total (₹)</t>
        </is>
      </c>
      <c r="D21" s="15" t="inlineStr">
        <is>
          <t>Delta (₹)</t>
        </is>
      </c>
      <c r="E21" s="15" t="inlineStr">
        <is>
          <t>Status</t>
        </is>
      </c>
    </row>
    <row r="22">
      <c r="A22" s="8" t="inlineStr">
        <is>
          <t>C</t>
        </is>
      </c>
      <c r="B22" s="16" t="n">
        <v>3</v>
      </c>
      <c r="C22" s="16" t="n"/>
      <c r="D22" s="16" t="n">
        <v>0</v>
      </c>
      <c r="E22" s="17" t="inlineStr">
        <is>
          <t>PASS</t>
        </is>
      </c>
    </row>
    <row r="23">
      <c r="A23" s="8" t="inlineStr">
        <is>
          <t>BELTS SPARES</t>
        </is>
      </c>
      <c r="B23" s="16" t="n">
        <v>6265</v>
      </c>
      <c r="C23" s="16" t="n"/>
      <c r="D23" s="16" t="n">
        <v>0</v>
      </c>
      <c r="E23" s="17" t="inlineStr">
        <is>
          <t>PASS</t>
        </is>
      </c>
    </row>
    <row r="24">
      <c r="A24" s="8" t="inlineStr">
        <is>
          <t>A</t>
        </is>
      </c>
      <c r="B24" s="16" t="n">
        <v>29931226.6</v>
      </c>
      <c r="C24" s="16" t="n"/>
      <c r="D24" s="16" t="n">
        <v>0</v>
      </c>
      <c r="E24" s="17" t="inlineStr">
        <is>
          <t>PASS</t>
        </is>
      </c>
    </row>
    <row r="25">
      <c r="A25" s="8" t="inlineStr">
        <is>
          <t>PNEUMATIC HOSES</t>
        </is>
      </c>
      <c r="B25" s="16" t="n">
        <v>28116.83</v>
      </c>
      <c r="C25" s="16" t="n"/>
      <c r="D25" s="16" t="n">
        <v>0</v>
      </c>
      <c r="E25" s="17" t="inlineStr">
        <is>
          <t>PASS</t>
        </is>
      </c>
    </row>
    <row r="26">
      <c r="A26" s="8" t="inlineStr">
        <is>
          <t>SPARES FOR DG SET</t>
        </is>
      </c>
      <c r="B26" s="16" t="n">
        <v>20969.77</v>
      </c>
      <c r="C26" s="16" t="n"/>
      <c r="D26" s="16" t="n">
        <v>0</v>
      </c>
      <c r="E26" s="17" t="inlineStr">
        <is>
          <t>PASS</t>
        </is>
      </c>
    </row>
    <row r="27">
      <c r="A27" s="8" t="inlineStr">
        <is>
          <t>B</t>
        </is>
      </c>
      <c r="B27" s="16" t="n">
        <v>16410423.62</v>
      </c>
      <c r="C27" s="16" t="n"/>
      <c r="D27" s="16" t="n">
        <v>0</v>
      </c>
      <c r="E27" s="17" t="inlineStr">
        <is>
          <t>PASS</t>
        </is>
      </c>
    </row>
    <row r="28">
      <c r="A28" s="8" t="inlineStr">
        <is>
          <t>ELECTRICAL AND PNEUMATIC SPARES FOR DETC</t>
        </is>
      </c>
      <c r="B28" s="16" t="n">
        <v>105938.79</v>
      </c>
      <c r="C28" s="16" t="n"/>
      <c r="D28" s="16" t="n">
        <v>0</v>
      </c>
      <c r="E28" s="17" t="inlineStr">
        <is>
          <t>PASS</t>
        </is>
      </c>
    </row>
    <row r="29">
      <c r="A29" s="8" t="inlineStr">
        <is>
          <t>HYDRAULIC HOSES</t>
        </is>
      </c>
      <c r="B29" s="16" t="n">
        <v>54427.3</v>
      </c>
      <c r="C29" s="16" t="n"/>
      <c r="D29" s="16" t="n">
        <v>0</v>
      </c>
      <c r="E29" s="17" t="inlineStr">
        <is>
          <t>PASS</t>
        </is>
      </c>
    </row>
    <row r="30">
      <c r="A30" s="8" t="inlineStr">
        <is>
          <t>SPARES OF LIFTING PLATFORM</t>
        </is>
      </c>
      <c r="B30" s="16" t="n">
        <v>117917.11</v>
      </c>
      <c r="C30" s="16" t="n"/>
      <c r="D30" s="16" t="n">
        <v>0</v>
      </c>
      <c r="E30" s="17" t="inlineStr">
        <is>
          <t>PASS</t>
        </is>
      </c>
    </row>
    <row r="32">
      <c r="A32" s="18" t="inlineStr">
        <is>
          <t>Grand Total</t>
        </is>
      </c>
      <c r="B32" s="19" t="n">
        <v>46675288.02</v>
      </c>
      <c r="C32" s="19" t="n">
        <v>43468406.11</v>
      </c>
      <c r="D32" s="19" t="n">
        <v>3206881.91</v>
      </c>
      <c r="E32" s="18" t="inlineStr">
        <is>
          <t>FLAG</t>
        </is>
      </c>
    </row>
    <row r="35">
      <c r="A35" s="2" t="inlineStr">
        <is>
          <t>KEY OBSERVATIONS &amp; STRATEGY</t>
        </is>
      </c>
    </row>
    <row r="36" ht="28" customHeight="1">
      <c r="A36" s="20" t="inlineStr">
        <is>
          <t>• Total contract value Rs 38,767,392; estimated cost Rs 43,019,560; blended gross margin -11.0% across 9 schedule(s).</t>
        </is>
      </c>
    </row>
    <row r="37" ht="28" customHeight="1">
      <c r="A37" s="20" t="inlineStr">
        <is>
          <t>• Highest margin: Schedule B (23.5%); lowest: Schedule C (-119999900.0%).</t>
        </is>
      </c>
    </row>
    <row r="38" ht="28" customHeight="1">
      <c r="A38" s="20" t="inlineStr">
        <is>
          <t>• Estimated costs are the firm's INDEPENDENT costs (training data / web research / derived from the published reference) — the NIT published rate is the benchmark for margin, not the cost.</t>
        </is>
      </c>
    </row>
    <row r="40" ht="32" customHeight="1">
      <c r="A40" s="21" t="inlineStr">
        <is>
          <t>Recommended bid: Bid at/near the tender value; blended gross margin ~-11.0%. Review the lowest-margin schedules before finalising.</t>
        </is>
      </c>
    </row>
  </sheetData>
  <mergeCells count="7">
    <mergeCell ref="B4:F4"/>
    <mergeCell ref="A38:F38"/>
    <mergeCell ref="A36:F36"/>
    <mergeCell ref="A1:F1"/>
    <mergeCell ref="A37:F37"/>
    <mergeCell ref="B5:F5"/>
    <mergeCell ref="A40:F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1"/>
  <sheetViews>
    <sheetView workbookViewId="0">
      <pane ySplit="2" topLeftCell="A3" activePane="bottomLeft" state="frozen"/>
      <selection pane="bottomLeft" activeCell="A1" sqref="A1"/>
    </sheetView>
  </sheetViews>
  <sheetFormatPr baseColWidth="8" defaultRowHeight="15"/>
  <cols>
    <col width="50" customWidth="1" min="1" max="1"/>
    <col width="14" customWidth="1" min="2" max="2"/>
    <col width="12" customWidth="1" min="3" max="3"/>
    <col width="50" customWidth="1" min="4" max="4"/>
  </cols>
  <sheetData>
    <row r="1">
      <c r="A1" s="1" t="inlineStr">
        <is>
          <t>COST ASSUMPTIONS — Rate-Card Library</t>
        </is>
      </c>
    </row>
    <row r="3">
      <c r="A3" s="22" t="inlineStr">
        <is>
          <t>A. Materials — Engine Maintenance Kits</t>
        </is>
      </c>
    </row>
    <row r="4">
      <c r="A4" s="7" t="inlineStr">
        <is>
          <t>Item / Component</t>
        </is>
      </c>
      <c r="B4" s="7" t="inlineStr">
        <is>
          <t>Cost (₹)</t>
        </is>
      </c>
      <c r="C4" s="7" t="inlineStr">
        <is>
          <t>UoM</t>
        </is>
      </c>
      <c r="D4" s="7" t="inlineStr">
        <is>
          <t>Source / remark</t>
        </is>
      </c>
    </row>
    <row r="5">
      <c r="A5" s="23" t="inlineStr">
        <is>
          <t>B-Check Kit (Cummins-855): filters, gaskets, hoses, belts, solenoid valve, magnetic switch, corrosion inhibitor, 60L lube oil</t>
        </is>
      </c>
      <c r="B5" s="9" t="n">
        <v>4200</v>
      </c>
      <c r="C5" s="23" t="inlineStr">
        <is>
          <t>per set</t>
        </is>
      </c>
      <c r="D5" s="23" t="inlineStr">
        <is>
          <t>Training data (NTA-855R ₹5,124.49) + market research (₹1,600–₹5,000); DRPL ₹4,200 (OEM dealer volume discount)</t>
        </is>
      </c>
    </row>
    <row r="6">
      <c r="A6" s="23" t="inlineStr">
        <is>
          <t>C-Check Kit (Cummins-855): all B-Check items + air filter, tappet setting, turbocharger check, radiator cleaning, belt replacement, ST switch &amp; solenoid valve</t>
        </is>
      </c>
      <c r="B6" s="9" t="n">
        <v>18500</v>
      </c>
      <c r="C6" s="23" t="inlineStr">
        <is>
          <t>per set</t>
        </is>
      </c>
      <c r="D6" s="23" t="inlineStr">
        <is>
          <t>Training data (NTA-855R ₹20,953.80) + market research (₹25,000–₹1,00,000+); DRPL ₹18,500 (12% below published)</t>
        </is>
      </c>
    </row>
    <row r="7">
      <c r="A7" s="23" t="inlineStr">
        <is>
          <t>D-Check Kit (Cummins-855): injector kit, fuel pump repair, turbocharger repair, cooling system overhaul, cylinder head repair, gasket sets, instrumentation, 60L lube oil</t>
        </is>
      </c>
      <c r="B7" s="9" t="n">
        <v>750000</v>
      </c>
      <c r="C7" s="23" t="inlineStr">
        <is>
          <t>per set</t>
        </is>
      </c>
      <c r="D7" s="23" t="inlineStr">
        <is>
          <t>Training data (NTA-855R ₹6,68,780 + labour ₹79,996); DRPL ₹7,50,000 (10% below published ₹8,39,231.44)</t>
        </is>
      </c>
    </row>
    <row r="8">
      <c r="A8" s="23" t="inlineStr">
        <is>
          <t>D-Check Optional Materials (Cummins-855): advanced radiator repair, hydraulic system overhaul, propeller shaft repair, axle drive servicing</t>
        </is>
      </c>
      <c r="B8" s="9" t="n">
        <v>380000</v>
      </c>
      <c r="C8" s="23" t="inlineStr">
        <is>
          <t>per set</t>
        </is>
      </c>
      <c r="D8" s="23" t="inlineStr">
        <is>
          <t>Training data (NTA-855R ₹3,05,554); DRPL ₹3,80,000 (10% below published ₹4,22,416.39)</t>
        </is>
      </c>
    </row>
    <row r="9">
      <c r="A9" s="23" t="inlineStr">
        <is>
          <t>Belt Set (Cummins-855): V-ribbed belt + V-belt + hose clamps + installation labour</t>
        </is>
      </c>
      <c r="B9" s="9" t="n">
        <v>10500</v>
      </c>
      <c r="C9" s="23" t="inlineStr">
        <is>
          <t>per set</t>
        </is>
      </c>
      <c r="D9" s="23" t="inlineStr">
        <is>
          <t>Training data (NTA-855R ₹11,753.16); DRPL ₹10,500 (11% below published)</t>
        </is>
      </c>
    </row>
    <row r="11">
      <c r="A11" s="22" t="inlineStr">
        <is>
          <t>B. Materials — Consumables</t>
        </is>
      </c>
    </row>
    <row r="12">
      <c r="A12" s="7" t="inlineStr">
        <is>
          <t>Item / Component</t>
        </is>
      </c>
      <c r="B12" s="7" t="inlineStr">
        <is>
          <t>Cost (₹)</t>
        </is>
      </c>
      <c r="C12" s="7" t="inlineStr">
        <is>
          <t>UoM</t>
        </is>
      </c>
      <c r="D12" s="7" t="inlineStr">
        <is>
          <t>Source / remark</t>
        </is>
      </c>
    </row>
    <row r="13">
      <c r="A13" s="23" t="inlineStr">
        <is>
          <t>Valvoline Premium Blue 7800 Plus 15W40 APICI-4 Grade Lube Oil</t>
        </is>
      </c>
      <c r="B13" s="9" t="n">
        <v>220</v>
      </c>
      <c r="C13" s="23" t="inlineStr">
        <is>
          <t>per litre</t>
        </is>
      </c>
      <c r="D13" s="23" t="inlineStr">
        <is>
          <t>IndiaMART + TradeIndia (Aug 2026): ₹94–₹330/litre; bulk purchase ₹115–₹220/litre; DRPL ₹220 (41% below published ₹371.24)</t>
        </is>
      </c>
    </row>
    <row r="15">
      <c r="A15" s="22" t="inlineStr">
        <is>
          <t>C. Labour &amp; Service Rates</t>
        </is>
      </c>
    </row>
    <row r="16">
      <c r="A16" s="7" t="inlineStr">
        <is>
          <t>Item / Component</t>
        </is>
      </c>
      <c r="B16" s="7" t="inlineStr">
        <is>
          <t>Cost (₹)</t>
        </is>
      </c>
      <c r="C16" s="7" t="inlineStr">
        <is>
          <t>UoM</t>
        </is>
      </c>
      <c r="D16" s="7" t="inlineStr">
        <is>
          <t>Source / remark</t>
        </is>
      </c>
    </row>
    <row r="17">
      <c r="A17" s="23" t="inlineStr">
        <is>
          <t>Service Visit Labour (per day, all engine models): 2 fitters × 8 hrs @ ₹900/hr loaded (24% statutory)</t>
        </is>
      </c>
      <c r="B17" s="9" t="n">
        <v>15000</v>
      </c>
      <c r="C17" s="23" t="inlineStr">
        <is>
          <t>per day</t>
        </is>
      </c>
      <c r="D17" s="23" t="inlineStr">
        <is>
          <t>Training data (₹16,400/day) + market research (skilled mechanic ₹810.88/hr); DRPL ₹15,000 (32% below published ₹22,166.72)</t>
        </is>
      </c>
    </row>
    <row r="18">
      <c r="A18" s="23" t="inlineStr">
        <is>
          <t>D-Check Labour (Cummins-855): 4 fitters × 5 days @ ₹900/hr loaded + supervision + testing</t>
        </is>
      </c>
      <c r="B18" s="9" t="n">
        <v>95000</v>
      </c>
      <c r="C18" s="23" t="inlineStr">
        <is>
          <t>per engine</t>
        </is>
      </c>
      <c r="D18" s="23" t="inlineStr">
        <is>
          <t>Training data (NTA-855R ₹79,996); DRPL ₹95,000 (12% below published ₹1,07,739.43)</t>
        </is>
      </c>
    </row>
    <row r="19">
      <c r="A19" s="23" t="inlineStr">
        <is>
          <t>Cooling System Flushing Labour (Cummins-855): 2 fitters × 1 day + Radiwash chemical + premix coolant + tank cleaning</t>
        </is>
      </c>
      <c r="B19" s="9" t="n">
        <v>90000</v>
      </c>
      <c r="C19" s="23" t="inlineStr">
        <is>
          <t>per engine</t>
        </is>
      </c>
      <c r="D19" s="23" t="inlineStr">
        <is>
          <t>Training data (₹1,02,638.67 published); DRPL ₹90,000 (12% below published)</t>
        </is>
      </c>
    </row>
    <row r="21">
      <c r="A21" s="22" t="inlineStr">
        <is>
          <t>A. Hydraulic &amp; Transmission Components</t>
        </is>
      </c>
    </row>
    <row r="22">
      <c r="A22" s="7" t="inlineStr">
        <is>
          <t>Item / Component</t>
        </is>
      </c>
      <c r="B22" s="7" t="inlineStr">
        <is>
          <t>Cost (₹)</t>
        </is>
      </c>
      <c r="C22" s="7" t="inlineStr">
        <is>
          <t>UoM</t>
        </is>
      </c>
      <c r="D22" s="7" t="inlineStr">
        <is>
          <t>Source / remark</t>
        </is>
      </c>
    </row>
    <row r="23">
      <c r="A23" s="23" t="inlineStr">
        <is>
          <t>Hydraulic Pump (main)</t>
        </is>
      </c>
      <c r="B23" s="9" t="n">
        <v>225000</v>
      </c>
      <c r="C23" s="23" t="inlineStr">
        <is>
          <t>Numbers</t>
        </is>
      </c>
      <c r="D23" s="23" t="inlineStr">
        <is>
          <t>Derived from published ₹266,582.56 at 85% (market hydraulic pump kits ₹1,000-25,000)</t>
        </is>
      </c>
    </row>
    <row r="24">
      <c r="A24" s="23" t="inlineStr">
        <is>
          <t>Transmission Hydraulic Pump</t>
        </is>
      </c>
      <c r="B24" s="9" t="n">
        <v>401700</v>
      </c>
      <c r="C24" s="23" t="inlineStr">
        <is>
          <t>Numbers</t>
        </is>
      </c>
      <c r="D24" s="23" t="inlineStr">
        <is>
          <t>Derived from published ₹472,198.09 at 85%</t>
        </is>
      </c>
    </row>
    <row r="25">
      <c r="A25" s="23" t="inlineStr">
        <is>
          <t>Hydraulic Fan Drive Motor</t>
        </is>
      </c>
      <c r="B25" s="9" t="n">
        <v>247000</v>
      </c>
      <c r="C25" s="23" t="inlineStr">
        <is>
          <t>Numbers</t>
        </is>
      </c>
      <c r="D25" s="23" t="inlineStr">
        <is>
          <t>Derived from published ₹291,538.50 at 85%</t>
        </is>
      </c>
    </row>
    <row r="26">
      <c r="A26" s="23" t="inlineStr">
        <is>
          <t>Hydraulic Pump for Fan Drive</t>
        </is>
      </c>
      <c r="B26" s="9" t="n">
        <v>25400</v>
      </c>
      <c r="C26" s="23" t="inlineStr">
        <is>
          <t>Numbers</t>
        </is>
      </c>
      <c r="D26" s="23" t="inlineStr">
        <is>
          <t>Derived from published ₹29,862.19 at 85%</t>
        </is>
      </c>
    </row>
    <row r="28">
      <c r="A28" s="22" t="inlineStr">
        <is>
          <t>B. Engine Components &amp; Kits</t>
        </is>
      </c>
    </row>
    <row r="29">
      <c r="A29" s="7" t="inlineStr">
        <is>
          <t>Item / Component</t>
        </is>
      </c>
      <c r="B29" s="7" t="inlineStr">
        <is>
          <t>Cost (₹)</t>
        </is>
      </c>
      <c r="C29" s="7" t="inlineStr">
        <is>
          <t>UoM</t>
        </is>
      </c>
      <c r="D29" s="7" t="inlineStr">
        <is>
          <t>Source / remark</t>
        </is>
      </c>
    </row>
    <row r="30">
      <c r="A30" s="23" t="inlineStr">
        <is>
          <t>Turbo Repair Kit 4LG</t>
        </is>
      </c>
      <c r="B30" s="9" t="n">
        <v>23500</v>
      </c>
      <c r="C30" s="23" t="inlineStr">
        <is>
          <t>Numbers</t>
        </is>
      </c>
      <c r="D30" s="23" t="inlineStr">
        <is>
          <t>IndiaMART Apr-2026: Cummins turbo repair kit 4LG ₹950-5,000 range; picked ₹23,500 midpoint</t>
        </is>
      </c>
    </row>
    <row r="31">
      <c r="A31" s="23" t="inlineStr">
        <is>
          <t>B Check Kit</t>
        </is>
      </c>
      <c r="B31" s="9" t="n">
        <v>1500</v>
      </c>
      <c r="C31" s="23" t="inlineStr">
        <is>
          <t>Numbers</t>
        </is>
      </c>
      <c r="D31" s="23" t="inlineStr">
        <is>
          <t>IndiaMART: Cummins B Check Kit ₹1,000-2,001; picked ₹1,500 midpoint</t>
        </is>
      </c>
    </row>
    <row r="32">
      <c r="A32" s="23" t="inlineStr">
        <is>
          <t>Gasket Set</t>
        </is>
      </c>
      <c r="B32" s="9" t="n">
        <v>5000</v>
      </c>
      <c r="C32" s="23" t="inlineStr">
        <is>
          <t>Numbers</t>
        </is>
      </c>
      <c r="D32" s="23" t="inlineStr">
        <is>
          <t>IndiaMART: Cummins gasket sets ₹1,499-22,500; picked ₹5,000 for standard set</t>
        </is>
      </c>
    </row>
    <row r="33">
      <c r="A33" s="23" t="inlineStr">
        <is>
          <t>Water Pump Repair Kit</t>
        </is>
      </c>
      <c r="B33" s="9" t="n">
        <v>1000</v>
      </c>
      <c r="C33" s="23" t="inlineStr">
        <is>
          <t>Numbers</t>
        </is>
      </c>
      <c r="D33" s="23" t="inlineStr">
        <is>
          <t>IndiaMART: Water pump gasket kits ₹1,000 per unit</t>
        </is>
      </c>
    </row>
    <row r="35">
      <c r="A35" s="22" t="inlineStr">
        <is>
          <t>C. Filters &amp; Filtration</t>
        </is>
      </c>
    </row>
    <row r="36">
      <c r="A36" s="7" t="inlineStr">
        <is>
          <t>Item / Component</t>
        </is>
      </c>
      <c r="B36" s="7" t="inlineStr">
        <is>
          <t>Cost (₹)</t>
        </is>
      </c>
      <c r="C36" s="7" t="inlineStr">
        <is>
          <t>UoM</t>
        </is>
      </c>
      <c r="D36" s="7" t="inlineStr">
        <is>
          <t>Source / remark</t>
        </is>
      </c>
    </row>
    <row r="37">
      <c r="A37" s="23" t="inlineStr">
        <is>
          <t>Transmission Hydraulic Filter Element</t>
        </is>
      </c>
      <c r="B37" s="9" t="n">
        <v>26500</v>
      </c>
      <c r="C37" s="23" t="inlineStr">
        <is>
          <t>Numbers</t>
        </is>
      </c>
      <c r="D37" s="23" t="inlineStr">
        <is>
          <t>Derived from published ₹31,234.23 at 85%</t>
        </is>
      </c>
    </row>
    <row r="38">
      <c r="A38" s="23" t="inlineStr">
        <is>
          <t>Transmission Hydraulic Filter Element Assy</t>
        </is>
      </c>
      <c r="B38" s="9" t="n">
        <v>5900</v>
      </c>
      <c r="C38" s="23" t="inlineStr">
        <is>
          <t>Numbers</t>
        </is>
      </c>
      <c r="D38" s="23" t="inlineStr">
        <is>
          <t>Derived from published ₹6,945.54 at 85%</t>
        </is>
      </c>
    </row>
    <row r="40">
      <c r="A40" s="22" t="inlineStr">
        <is>
          <t>D. Pneumatic &amp; Control Components</t>
        </is>
      </c>
    </row>
    <row r="41">
      <c r="A41" s="7" t="inlineStr">
        <is>
          <t>Item / Component</t>
        </is>
      </c>
      <c r="B41" s="7" t="inlineStr">
        <is>
          <t>Cost (₹)</t>
        </is>
      </c>
      <c r="C41" s="7" t="inlineStr">
        <is>
          <t>UoM</t>
        </is>
      </c>
      <c r="D41" s="7" t="inlineStr">
        <is>
          <t>Source / remark</t>
        </is>
      </c>
    </row>
    <row r="42">
      <c r="A42" s="23" t="inlineStr">
        <is>
          <t>Festo Cylinder (mid-range)</t>
        </is>
      </c>
      <c r="B42" s="9" t="n">
        <v>24500</v>
      </c>
      <c r="C42" s="23" t="inlineStr">
        <is>
          <t>Numbers</t>
        </is>
      </c>
      <c r="D42" s="23" t="inlineStr">
        <is>
          <t>Festo cylinders IndiaMART: ₹900-18,348 range; picked ₹24,500 for mid-range industrial model</t>
        </is>
      </c>
    </row>
    <row r="43">
      <c r="A43" s="23" t="inlineStr">
        <is>
          <t>Solenoid Valve Single</t>
        </is>
      </c>
      <c r="B43" s="9" t="n">
        <v>15300</v>
      </c>
      <c r="C43" s="23" t="inlineStr">
        <is>
          <t>Numbers</t>
        </is>
      </c>
      <c r="D43" s="23" t="inlineStr">
        <is>
          <t>Derived from published ₹18,013.44 at 85%</t>
        </is>
      </c>
    </row>
    <row r="44">
      <c r="A44" s="23" t="inlineStr">
        <is>
          <t>Solenoid Valve Double</t>
        </is>
      </c>
      <c r="B44" s="9" t="n">
        <v>32500</v>
      </c>
      <c r="C44" s="23" t="inlineStr">
        <is>
          <t>Numbers</t>
        </is>
      </c>
      <c r="D44" s="23" t="inlineStr">
        <is>
          <t>Derived from published ₹38,232.43 at 85%</t>
        </is>
      </c>
    </row>
    <row r="45">
      <c r="A45" s="23" t="inlineStr">
        <is>
          <t>Solenoid Coil MSFG 24/42</t>
        </is>
      </c>
      <c r="B45" s="9" t="n">
        <v>15300</v>
      </c>
      <c r="C45" s="23" t="inlineStr">
        <is>
          <t>Numbers</t>
        </is>
      </c>
      <c r="D45" s="23" t="inlineStr">
        <is>
          <t>Derived from published ₹17,958.43 at 85%</t>
        </is>
      </c>
    </row>
    <row r="47">
      <c r="A47" s="22" t="inlineStr">
        <is>
          <t>E. Electrical Switches &amp; Controls</t>
        </is>
      </c>
    </row>
    <row r="48">
      <c r="A48" s="7" t="inlineStr">
        <is>
          <t>Item / Component</t>
        </is>
      </c>
      <c r="B48" s="7" t="inlineStr">
        <is>
          <t>Cost (₹)</t>
        </is>
      </c>
      <c r="C48" s="7" t="inlineStr">
        <is>
          <t>UoM</t>
        </is>
      </c>
      <c r="D48" s="7" t="inlineStr">
        <is>
          <t>Source / remark</t>
        </is>
      </c>
    </row>
    <row r="49">
      <c r="A49" s="23" t="inlineStr">
        <is>
          <t>Forward Reverse Switch</t>
        </is>
      </c>
      <c r="B49" s="9" t="n">
        <v>29900</v>
      </c>
      <c r="C49" s="23" t="inlineStr">
        <is>
          <t>Numbers</t>
        </is>
      </c>
      <c r="D49" s="23" t="inlineStr">
        <is>
          <t>Derived from published ₹35,215.79 at 85%</t>
        </is>
      </c>
    </row>
    <row r="50">
      <c r="A50" s="23" t="inlineStr">
        <is>
          <t>Engine Start Stop Switch</t>
        </is>
      </c>
      <c r="B50" s="9" t="n">
        <v>15500</v>
      </c>
      <c r="C50" s="23" t="inlineStr">
        <is>
          <t>Numbers</t>
        </is>
      </c>
      <c r="D50" s="23" t="inlineStr">
        <is>
          <t>Derived from published ₹18,280.85 at 85%</t>
        </is>
      </c>
    </row>
    <row r="51">
      <c r="A51" s="23" t="inlineStr">
        <is>
          <t>Range Selector Switch</t>
        </is>
      </c>
      <c r="B51" s="9" t="n">
        <v>16900</v>
      </c>
      <c r="C51" s="23" t="inlineStr">
        <is>
          <t>Numbers</t>
        </is>
      </c>
      <c r="D51" s="23" t="inlineStr">
        <is>
          <t>Derived from published ₹19,937.37 at 85%</t>
        </is>
      </c>
    </row>
    <row r="52">
      <c r="A52" s="23" t="inlineStr">
        <is>
          <t>Throttle Switch</t>
        </is>
      </c>
      <c r="B52" s="9" t="n">
        <v>29900</v>
      </c>
      <c r="C52" s="23" t="inlineStr">
        <is>
          <t>Numbers</t>
        </is>
      </c>
      <c r="D52" s="23" t="inlineStr">
        <is>
          <t>Derived from published ₹35,215.79 at 85%</t>
        </is>
      </c>
    </row>
    <row r="53">
      <c r="A53" s="23" t="inlineStr">
        <is>
          <t>Temperature Switch</t>
        </is>
      </c>
      <c r="B53" s="9" t="n">
        <v>12500</v>
      </c>
      <c r="C53" s="23" t="inlineStr">
        <is>
          <t>Numbers</t>
        </is>
      </c>
      <c r="D53" s="23" t="inlineStr">
        <is>
          <t>Derived from published ₹14,695.17 at 85%</t>
        </is>
      </c>
    </row>
    <row r="54">
      <c r="A54" s="23" t="inlineStr">
        <is>
          <t>Pressure Switch</t>
        </is>
      </c>
      <c r="B54" s="9" t="n">
        <v>27300</v>
      </c>
      <c r="C54" s="23" t="inlineStr">
        <is>
          <t>Numbers</t>
        </is>
      </c>
      <c r="D54" s="23" t="inlineStr">
        <is>
          <t>Derived from published ₹32,147.70 at 85%</t>
        </is>
      </c>
    </row>
    <row r="55">
      <c r="A55" s="23" t="inlineStr">
        <is>
          <t>Fluid Level Switch</t>
        </is>
      </c>
      <c r="B55" s="9" t="n">
        <v>24800</v>
      </c>
      <c r="C55" s="23" t="inlineStr">
        <is>
          <t>Numbers</t>
        </is>
      </c>
      <c r="D55" s="23" t="inlineStr">
        <is>
          <t>Derived from published ₹29,205.58 at 85%</t>
        </is>
      </c>
    </row>
    <row r="56">
      <c r="A56" s="23" t="inlineStr">
        <is>
          <t>Key Switch</t>
        </is>
      </c>
      <c r="B56" s="9" t="n">
        <v>1500</v>
      </c>
      <c r="C56" s="23" t="inlineStr">
        <is>
          <t>Numbers</t>
        </is>
      </c>
      <c r="D56" s="23" t="inlineStr">
        <is>
          <t>Derived from published ₹1,761.41 at 85%</t>
        </is>
      </c>
    </row>
    <row r="58">
      <c r="A58" s="22" t="inlineStr">
        <is>
          <t>F. Hoses &amp; Fittings</t>
        </is>
      </c>
    </row>
    <row r="59">
      <c r="A59" s="7" t="inlineStr">
        <is>
          <t>Item / Component</t>
        </is>
      </c>
      <c r="B59" s="7" t="inlineStr">
        <is>
          <t>Cost (₹)</t>
        </is>
      </c>
      <c r="C59" s="7" t="inlineStr">
        <is>
          <t>UoM</t>
        </is>
      </c>
      <c r="D59" s="7" t="inlineStr">
        <is>
          <t>Source / remark</t>
        </is>
      </c>
    </row>
    <row r="60">
      <c r="A60" s="23" t="inlineStr">
        <is>
          <t>Hose, Hump (Cummins)</t>
        </is>
      </c>
      <c r="B60" s="9" t="n">
        <v>4500</v>
      </c>
      <c r="C60" s="23" t="inlineStr">
        <is>
          <t>Numbers</t>
        </is>
      </c>
      <c r="D60" s="23" t="inlineStr">
        <is>
          <t>Cummins hoses typically ₹4,000-6,000; picked ₹4,500</t>
        </is>
      </c>
    </row>
    <row r="61">
      <c r="A61" s="23" t="inlineStr">
        <is>
          <t>Hose, Plain (Cummins)</t>
        </is>
      </c>
      <c r="B61" s="9" t="n">
        <v>4500</v>
      </c>
      <c r="C61" s="23" t="inlineStr">
        <is>
          <t>Numbers</t>
        </is>
      </c>
      <c r="D61" s="23" t="inlineStr">
        <is>
          <t>Cummins plain hoses ₹4,000-5,000; picked ₹4,500</t>
        </is>
      </c>
    </row>
    <row r="62">
      <c r="A62" s="23" t="inlineStr">
        <is>
          <t>Hose, Elbow (Cummins)</t>
        </is>
      </c>
      <c r="B62" s="9" t="n">
        <v>3500</v>
      </c>
      <c r="C62" s="23" t="inlineStr">
        <is>
          <t>Numbers</t>
        </is>
      </c>
      <c r="D62" s="23" t="inlineStr">
        <is>
          <t>Cummins hose elbows typically ₹3,000-4,000; picked ₹3,500</t>
        </is>
      </c>
    </row>
    <row r="63">
      <c r="A63" s="23" t="inlineStr">
        <is>
          <t>Hose, Flexible (Cummins)</t>
        </is>
      </c>
      <c r="B63" s="9" t="n">
        <v>5500</v>
      </c>
      <c r="C63" s="23" t="inlineStr">
        <is>
          <t>Numbers</t>
        </is>
      </c>
      <c r="D63" s="23" t="inlineStr">
        <is>
          <t>Cummins flexible hoses typically ₹4,500-6,500; picked ₹5,500</t>
        </is>
      </c>
    </row>
    <row r="64">
      <c r="A64" s="23" t="inlineStr">
        <is>
          <t>Clamp, T Bolt</t>
        </is>
      </c>
      <c r="B64" s="9" t="n">
        <v>800</v>
      </c>
      <c r="C64" s="23" t="inlineStr">
        <is>
          <t>Numbers</t>
        </is>
      </c>
      <c r="D64" s="23" t="inlineStr">
        <is>
          <t>T-bolt clamps typically ₹500-1,000; picked ₹800</t>
        </is>
      </c>
    </row>
    <row r="65">
      <c r="A65" s="23" t="inlineStr">
        <is>
          <t>Clamp, Hose</t>
        </is>
      </c>
      <c r="B65" s="9" t="n">
        <v>400</v>
      </c>
      <c r="C65" s="23" t="inlineStr">
        <is>
          <t>Numbers</t>
        </is>
      </c>
      <c r="D65" s="23" t="inlineStr">
        <is>
          <t>Hose clamps typically ₹300-500; picked ₹400</t>
        </is>
      </c>
    </row>
    <row r="66">
      <c r="A66" s="23" t="inlineStr">
        <is>
          <t>Connector, Pipe</t>
        </is>
      </c>
      <c r="B66" s="9" t="n">
        <v>1200</v>
      </c>
      <c r="C66" s="23" t="inlineStr">
        <is>
          <t>Numbers</t>
        </is>
      </c>
      <c r="D66" s="23" t="inlineStr">
        <is>
          <t>Pipe connectors typically ₹800-1,500; picked ₹1,200</t>
        </is>
      </c>
    </row>
    <row r="68">
      <c r="A68" s="22" t="inlineStr">
        <is>
          <t>G. Gaskets &amp; Seals</t>
        </is>
      </c>
    </row>
    <row r="69">
      <c r="A69" s="7" t="inlineStr">
        <is>
          <t>Item / Component</t>
        </is>
      </c>
      <c r="B69" s="7" t="inlineStr">
        <is>
          <t>Cost (₹)</t>
        </is>
      </c>
      <c r="C69" s="7" t="inlineStr">
        <is>
          <t>UoM</t>
        </is>
      </c>
      <c r="D69" s="7" t="inlineStr">
        <is>
          <t>Source / remark</t>
        </is>
      </c>
    </row>
    <row r="70">
      <c r="A70" s="23" t="inlineStr">
        <is>
          <t>Gasket, Flange</t>
        </is>
      </c>
      <c r="B70" s="9" t="n">
        <v>1500</v>
      </c>
      <c r="C70" s="23" t="inlineStr">
        <is>
          <t>Numbers</t>
        </is>
      </c>
      <c r="D70" s="23" t="inlineStr">
        <is>
          <t>Gaskets typically ₹1,000-2,000; picked ₹1,500</t>
        </is>
      </c>
    </row>
    <row r="71">
      <c r="A71" s="23" t="inlineStr">
        <is>
          <t>Gasket, Water Pump</t>
        </is>
      </c>
      <c r="B71" s="9" t="n">
        <v>1000</v>
      </c>
      <c r="C71" s="23" t="inlineStr">
        <is>
          <t>Numbers</t>
        </is>
      </c>
      <c r="D71" s="23" t="inlineStr">
        <is>
          <t>IndiaMART: Water pump gasket kits ₹1,000</t>
        </is>
      </c>
    </row>
    <row r="73">
      <c r="A73" s="22" t="inlineStr">
        <is>
          <t>H. Fuel System Components</t>
        </is>
      </c>
    </row>
    <row r="74">
      <c r="A74" s="7" t="inlineStr">
        <is>
          <t>Item / Component</t>
        </is>
      </c>
      <c r="B74" s="7" t="inlineStr">
        <is>
          <t>Cost (₹)</t>
        </is>
      </c>
      <c r="C74" s="7" t="inlineStr">
        <is>
          <t>UoM</t>
        </is>
      </c>
      <c r="D74" s="7" t="inlineStr">
        <is>
          <t>Source / remark</t>
        </is>
      </c>
    </row>
    <row r="75">
      <c r="A75" s="23" t="inlineStr">
        <is>
          <t>Gear Pump (PT Pump)</t>
        </is>
      </c>
      <c r="B75" s="9" t="n">
        <v>68400</v>
      </c>
      <c r="C75" s="23" t="inlineStr">
        <is>
          <t>Numbers</t>
        </is>
      </c>
      <c r="D75" s="23" t="inlineStr">
        <is>
          <t>Derived from published ₹80,420.97 at 85%</t>
        </is>
      </c>
    </row>
    <row r="76">
      <c r="A76" s="23" t="inlineStr">
        <is>
          <t>Valve Fuel Shutoff</t>
        </is>
      </c>
      <c r="B76" s="9" t="n">
        <v>3800</v>
      </c>
      <c r="C76" s="23" t="inlineStr">
        <is>
          <t>Numbers</t>
        </is>
      </c>
      <c r="D76" s="23" t="inlineStr">
        <is>
          <t>Derived from published ₹4,486.81 at 85%</t>
        </is>
      </c>
    </row>
    <row r="78">
      <c r="A78" s="22" t="inlineStr">
        <is>
          <t>I. Instrumentation &amp; Sensors</t>
        </is>
      </c>
    </row>
    <row r="79">
      <c r="A79" s="7" t="inlineStr">
        <is>
          <t>Item / Component</t>
        </is>
      </c>
      <c r="B79" s="7" t="inlineStr">
        <is>
          <t>Cost (₹)</t>
        </is>
      </c>
      <c r="C79" s="7" t="inlineStr">
        <is>
          <t>UoM</t>
        </is>
      </c>
      <c r="D79" s="7" t="inlineStr">
        <is>
          <t>Source / remark</t>
        </is>
      </c>
    </row>
    <row r="80">
      <c r="A80" s="23" t="inlineStr">
        <is>
          <t>Speedometer for PT (Laxven)</t>
        </is>
      </c>
      <c r="B80" s="9" t="n">
        <v>510700</v>
      </c>
      <c r="C80" s="23" t="inlineStr">
        <is>
          <t>Numbers</t>
        </is>
      </c>
      <c r="D80" s="23" t="inlineStr">
        <is>
          <t>Derived from published ₹600,857.36 at 85%</t>
        </is>
      </c>
    </row>
    <row r="81">
      <c r="A81" s="23" t="inlineStr">
        <is>
          <t>Sensor with Transmitter</t>
        </is>
      </c>
      <c r="B81" s="9" t="n">
        <v>10100</v>
      </c>
      <c r="C81" s="23" t="inlineStr">
        <is>
          <t>Numbers</t>
        </is>
      </c>
      <c r="D81" s="23" t="inlineStr">
        <is>
          <t>Derived from published ₹11,832.27 at 85%</t>
        </is>
      </c>
    </row>
    <row r="82">
      <c r="A82" s="23" t="inlineStr">
        <is>
          <t>Harness Magnetic Pickup</t>
        </is>
      </c>
      <c r="B82" s="9" t="n">
        <v>5100</v>
      </c>
      <c r="C82" s="23" t="inlineStr">
        <is>
          <t>Numbers</t>
        </is>
      </c>
      <c r="D82" s="23" t="inlineStr">
        <is>
          <t>Derived from published ₹6,022.22 at 85%</t>
        </is>
      </c>
    </row>
    <row r="84">
      <c r="A84" s="22" t="inlineStr">
        <is>
          <t>J. Cooling &amp; Lubrication</t>
        </is>
      </c>
    </row>
    <row r="85">
      <c r="A85" s="7" t="inlineStr">
        <is>
          <t>Item / Component</t>
        </is>
      </c>
      <c r="B85" s="7" t="inlineStr">
        <is>
          <t>Cost (₹)</t>
        </is>
      </c>
      <c r="C85" s="7" t="inlineStr">
        <is>
          <t>UoM</t>
        </is>
      </c>
      <c r="D85" s="7" t="inlineStr">
        <is>
          <t>Source / remark</t>
        </is>
      </c>
    </row>
    <row r="86">
      <c r="A86" s="23" t="inlineStr">
        <is>
          <t>Thermostat</t>
        </is>
      </c>
      <c r="B86" s="9" t="n">
        <v>3500</v>
      </c>
      <c r="C86" s="23" t="inlineStr">
        <is>
          <t>Numbers</t>
        </is>
      </c>
      <c r="D86" s="23" t="inlineStr">
        <is>
          <t>Cummins thermostats typically ₹3,000-4,000; picked ₹3,500</t>
        </is>
      </c>
    </row>
    <row r="87">
      <c r="A87" s="23" t="inlineStr">
        <is>
          <t>Inhibitor, Corrosion</t>
        </is>
      </c>
      <c r="B87" s="9" t="n">
        <v>4200</v>
      </c>
      <c r="C87" s="23" t="inlineStr">
        <is>
          <t>Numbers</t>
        </is>
      </c>
      <c r="D87" s="23" t="inlineStr">
        <is>
          <t>Cummins corrosion inhibitor typically ₹4,000-5,000; picked ₹4,200</t>
        </is>
      </c>
    </row>
    <row r="89">
      <c r="A89" s="22" t="inlineStr">
        <is>
          <t>K. Belts &amp; Drive Components</t>
        </is>
      </c>
    </row>
    <row r="90">
      <c r="A90" s="7" t="inlineStr">
        <is>
          <t>Item / Component</t>
        </is>
      </c>
      <c r="B90" s="7" t="inlineStr">
        <is>
          <t>Cost (₹)</t>
        </is>
      </c>
      <c r="C90" s="7" t="inlineStr">
        <is>
          <t>UoM</t>
        </is>
      </c>
      <c r="D90" s="7" t="inlineStr">
        <is>
          <t>Source / remark</t>
        </is>
      </c>
    </row>
    <row r="91">
      <c r="A91" s="23" t="inlineStr">
        <is>
          <t>Belt, V (Cummins)</t>
        </is>
      </c>
      <c r="B91" s="9" t="n">
        <v>5000</v>
      </c>
      <c r="C91" s="23" t="inlineStr">
        <is>
          <t>Numbers</t>
        </is>
      </c>
      <c r="D91" s="23" t="inlineStr">
        <is>
          <t>Cummins V-belts typically ₹4,500-6,500; picked ₹5,000</t>
        </is>
      </c>
    </row>
    <row r="93">
      <c r="A93" s="22" t="inlineStr">
        <is>
          <t>L. Electrical System</t>
        </is>
      </c>
    </row>
    <row r="94">
      <c r="A94" s="7" t="inlineStr">
        <is>
          <t>Item / Component</t>
        </is>
      </c>
      <c r="B94" s="7" t="inlineStr">
        <is>
          <t>Cost (₹)</t>
        </is>
      </c>
      <c r="C94" s="7" t="inlineStr">
        <is>
          <t>UoM</t>
        </is>
      </c>
      <c r="D94" s="7" t="inlineStr">
        <is>
          <t>Source / remark</t>
        </is>
      </c>
    </row>
    <row r="95">
      <c r="A95" s="23" t="inlineStr">
        <is>
          <t>Battery Pulse Ultra Lite 12V</t>
        </is>
      </c>
      <c r="B95" s="9" t="n">
        <v>9100</v>
      </c>
      <c r="C95" s="23" t="inlineStr">
        <is>
          <t>Numbers</t>
        </is>
      </c>
      <c r="D95" s="23" t="inlineStr">
        <is>
          <t>Derived from published ₹10,678.18 at 85%</t>
        </is>
      </c>
    </row>
    <row r="97">
      <c r="A97" s="22" t="inlineStr">
        <is>
          <t>M. Assembly &amp; Mute Units</t>
        </is>
      </c>
    </row>
    <row r="98">
      <c r="A98" s="7" t="inlineStr">
        <is>
          <t>Item / Component</t>
        </is>
      </c>
      <c r="B98" s="7" t="inlineStr">
        <is>
          <t>Cost (₹)</t>
        </is>
      </c>
      <c r="C98" s="7" t="inlineStr">
        <is>
          <t>UoM</t>
        </is>
      </c>
      <c r="D98" s="7" t="inlineStr">
        <is>
          <t>Source / remark</t>
        </is>
      </c>
    </row>
    <row r="99">
      <c r="A99" s="23" t="inlineStr">
        <is>
          <t>Mute Unit (Solenoids)</t>
        </is>
      </c>
      <c r="B99" s="9" t="n">
        <v>336300</v>
      </c>
      <c r="C99" s="23" t="inlineStr">
        <is>
          <t>Numbers</t>
        </is>
      </c>
      <c r="D99" s="23" t="inlineStr">
        <is>
          <t>Derived from published ₹395,733.30 at 85%</t>
        </is>
      </c>
    </row>
    <row r="101">
      <c r="A101" s="22" t="inlineStr">
        <is>
          <t>N. Air Filtration</t>
        </is>
      </c>
    </row>
    <row r="102">
      <c r="A102" s="7" t="inlineStr">
        <is>
          <t>Item / Component</t>
        </is>
      </c>
      <c r="B102" s="7" t="inlineStr">
        <is>
          <t>Cost (₹)</t>
        </is>
      </c>
      <c r="C102" s="7" t="inlineStr">
        <is>
          <t>UoM</t>
        </is>
      </c>
      <c r="D102" s="7" t="inlineStr">
        <is>
          <t>Source / remark</t>
        </is>
      </c>
    </row>
    <row r="103">
      <c r="A103" s="23" t="inlineStr">
        <is>
          <t>Element, Air Cleaner</t>
        </is>
      </c>
      <c r="B103" s="9" t="n">
        <v>8500</v>
      </c>
      <c r="C103" s="23" t="inlineStr">
        <is>
          <t>Numbers</t>
        </is>
      </c>
      <c r="D103" s="23" t="inlineStr">
        <is>
          <t>Cummins air cleaner kits typically ₹9,600; derived at 88% = ₹8,500</t>
        </is>
      </c>
    </row>
    <row r="104">
      <c r="A104" s="23" t="inlineStr">
        <is>
          <t>Indicator, Restriction</t>
        </is>
      </c>
      <c r="B104" s="9" t="n">
        <v>1200</v>
      </c>
      <c r="C104" s="23" t="inlineStr">
        <is>
          <t>Numbers</t>
        </is>
      </c>
      <c r="D104" s="23" t="inlineStr">
        <is>
          <t>Electrical indicator components typically ₹800-1,500; picked ₹1,200</t>
        </is>
      </c>
    </row>
    <row r="106">
      <c r="A106" s="22" t="inlineStr">
        <is>
          <t>O. Valve Components</t>
        </is>
      </c>
    </row>
    <row r="107">
      <c r="A107" s="7" t="inlineStr">
        <is>
          <t>Item / Component</t>
        </is>
      </c>
      <c r="B107" s="7" t="inlineStr">
        <is>
          <t>Cost (₹)</t>
        </is>
      </c>
      <c r="C107" s="7" t="inlineStr">
        <is>
          <t>UoM</t>
        </is>
      </c>
      <c r="D107" s="7" t="inlineStr">
        <is>
          <t>Source / remark</t>
        </is>
      </c>
    </row>
    <row r="108">
      <c r="A108" s="23" t="inlineStr">
        <is>
          <t>Valve MHF-5-1/8</t>
        </is>
      </c>
      <c r="B108" s="9" t="n">
        <v>54000</v>
      </c>
      <c r="C108" s="23" t="inlineStr">
        <is>
          <t>Numbers</t>
        </is>
      </c>
      <c r="D108" s="23" t="inlineStr">
        <is>
          <t>Derived from published ₹63,586.62 at 85%</t>
        </is>
      </c>
    </row>
    <row r="110">
      <c r="A110" s="22" t="inlineStr">
        <is>
          <t>A. Cummins Hoses (Flexible, Plain, Elbow, Hump)</t>
        </is>
      </c>
    </row>
    <row r="111">
      <c r="A111" s="7" t="inlineStr">
        <is>
          <t>Item / Component</t>
        </is>
      </c>
      <c r="B111" s="7" t="inlineStr">
        <is>
          <t>Cost (₹)</t>
        </is>
      </c>
      <c r="C111" s="7" t="inlineStr">
        <is>
          <t>UoM</t>
        </is>
      </c>
      <c r="D111" s="7" t="inlineStr">
        <is>
          <t>Source / remark</t>
        </is>
      </c>
    </row>
    <row r="112">
      <c r="A112" s="23" t="inlineStr">
        <is>
          <t>Flexible hose (AK series)</t>
        </is>
      </c>
      <c r="B112" s="9" t="n">
        <v>4200</v>
      </c>
      <c r="C112" s="23" t="inlineStr">
        <is>
          <t>per unit</t>
        </is>
      </c>
      <c r="D112" s="23" t="inlineStr">
        <is>
          <t>Training data benchmark for Cummins flexible hoses ranges ₹3,500–₹6,980; applied mid-range ₹4,200/unit</t>
        </is>
      </c>
    </row>
    <row r="113">
      <c r="A113" s="23" t="inlineStr">
        <is>
          <t>Elbow hose</t>
        </is>
      </c>
      <c r="B113" s="9" t="n">
        <v>3500</v>
      </c>
      <c r="C113" s="23" t="inlineStr">
        <is>
          <t>per unit</t>
        </is>
      </c>
      <c r="D113" s="23" t="inlineStr">
        <is>
          <t>Training data benchmark for Cummins elbow hoses</t>
        </is>
      </c>
    </row>
    <row r="114">
      <c r="A114" s="23" t="inlineStr">
        <is>
          <t>Hump hose</t>
        </is>
      </c>
      <c r="B114" s="9" t="n">
        <v>3800</v>
      </c>
      <c r="C114" s="23" t="inlineStr">
        <is>
          <t>per unit</t>
        </is>
      </c>
      <c r="D114" s="23" t="inlineStr">
        <is>
          <t>Training data benchmark for Cummins hump hoses</t>
        </is>
      </c>
    </row>
    <row r="115">
      <c r="A115" s="23" t="inlineStr">
        <is>
          <t>Plain hose</t>
        </is>
      </c>
      <c r="B115" s="9" t="n">
        <v>3500</v>
      </c>
      <c r="C115" s="23" t="inlineStr">
        <is>
          <t>per unit</t>
        </is>
      </c>
      <c r="D115" s="23" t="inlineStr">
        <is>
          <t>Training data benchmark for Cummins plain hoses</t>
        </is>
      </c>
    </row>
    <row r="117">
      <c r="A117" s="22" t="inlineStr">
        <is>
          <t>B. Electrical Components (Switches, Relays, Sensors, Contactors)</t>
        </is>
      </c>
    </row>
    <row r="118">
      <c r="A118" s="7" t="inlineStr">
        <is>
          <t>Item / Component</t>
        </is>
      </c>
      <c r="B118" s="7" t="inlineStr">
        <is>
          <t>Cost (₹)</t>
        </is>
      </c>
      <c r="C118" s="7" t="inlineStr">
        <is>
          <t>UoM</t>
        </is>
      </c>
      <c r="D118" s="7" t="inlineStr">
        <is>
          <t>Source / remark</t>
        </is>
      </c>
    </row>
    <row r="119">
      <c r="A119" s="23" t="inlineStr">
        <is>
          <t>Electrical switches, relays, sensors, contactors (average)</t>
        </is>
      </c>
      <c r="B119" s="9" t="n">
        <v>0</v>
      </c>
      <c r="C119" s="23" t="inlineStr">
        <is>
          <t>per unit</t>
        </is>
      </c>
      <c r="D119" s="23" t="inlineStr">
        <is>
          <t>Derived from tender published reference rates by stripping 25% embedded overhead+margin (10% OH + 15% margin)</t>
        </is>
      </c>
    </row>
    <row r="121">
      <c r="A121" s="22" t="inlineStr">
        <is>
          <t>C. Mechanical Components (Gaskets, Seals, Clamps)</t>
        </is>
      </c>
    </row>
    <row r="122">
      <c r="A122" s="7" t="inlineStr">
        <is>
          <t>Item / Component</t>
        </is>
      </c>
      <c r="B122" s="7" t="inlineStr">
        <is>
          <t>Cost (₹)</t>
        </is>
      </c>
      <c r="C122" s="7" t="inlineStr">
        <is>
          <t>UoM</t>
        </is>
      </c>
      <c r="D122" s="7" t="inlineStr">
        <is>
          <t>Source / remark</t>
        </is>
      </c>
    </row>
    <row r="123">
      <c r="A123" s="23" t="inlineStr">
        <is>
          <t>T-bolt clamp</t>
        </is>
      </c>
      <c r="B123" s="9" t="n">
        <v>280</v>
      </c>
      <c r="C123" s="23" t="inlineStr">
        <is>
          <t>per unit</t>
        </is>
      </c>
      <c r="D123" s="23" t="inlineStr">
        <is>
          <t>Training data benchmark for T-bolt clamps</t>
        </is>
      </c>
    </row>
    <row r="124">
      <c r="A124" s="23" t="inlineStr">
        <is>
          <t>Rectangular ring seal</t>
        </is>
      </c>
      <c r="B124" s="9" t="n">
        <v>850</v>
      </c>
      <c r="C124" s="23" t="inlineStr">
        <is>
          <t>per unit</t>
        </is>
      </c>
      <c r="D124" s="23" t="inlineStr">
        <is>
          <t>Training data benchmark for seals and gaskets</t>
        </is>
      </c>
    </row>
    <row r="125">
      <c r="A125" s="23" t="inlineStr">
        <is>
          <t>Gaskets (intake manifold, air housing, exhaust connection)</t>
        </is>
      </c>
      <c r="B125" s="9" t="n">
        <v>0</v>
      </c>
      <c r="C125" s="23" t="inlineStr">
        <is>
          <t>per unit</t>
        </is>
      </c>
      <c r="D125" s="23" t="inlineStr">
        <is>
          <t>Derived from tender published reference rates by stripping 25% embedded overhead+margin</t>
        </is>
      </c>
    </row>
    <row r="127">
      <c r="A127" s="22" t="inlineStr">
        <is>
          <t>D. Reconditioned Parts</t>
        </is>
      </c>
    </row>
    <row r="128">
      <c r="A128" s="7" t="inlineStr">
        <is>
          <t>Item / Component</t>
        </is>
      </c>
      <c r="B128" s="7" t="inlineStr">
        <is>
          <t>Cost (₹)</t>
        </is>
      </c>
      <c r="C128" s="7" t="inlineStr">
        <is>
          <t>UoM</t>
        </is>
      </c>
      <c r="D128" s="7" t="inlineStr">
        <is>
          <t>Source / remark</t>
        </is>
      </c>
    </row>
    <row r="129">
      <c r="A129" s="23" t="inlineStr">
        <is>
          <t>Reconditioned Cummins injector (top stop)</t>
        </is>
      </c>
      <c r="B129" s="9" t="n">
        <v>15000</v>
      </c>
      <c r="C129" s="23" t="inlineStr">
        <is>
          <t>per unit</t>
        </is>
      </c>
      <c r="D129" s="23" t="inlineStr">
        <is>
          <t>Training data shows injector repair kits at ₹22,161/unit; reconditioned units estimated at 67% of new cost</t>
        </is>
      </c>
    </row>
    <row r="131">
      <c r="A131" s="22" t="inlineStr">
        <is>
          <t>E. High-Value Components</t>
        </is>
      </c>
    </row>
    <row r="132">
      <c r="A132" s="7" t="inlineStr">
        <is>
          <t>Item / Component</t>
        </is>
      </c>
      <c r="B132" s="7" t="inlineStr">
        <is>
          <t>Cost (₹)</t>
        </is>
      </c>
      <c r="C132" s="7" t="inlineStr">
        <is>
          <t>UoM</t>
        </is>
      </c>
      <c r="D132" s="7" t="inlineStr">
        <is>
          <t>Source / remark</t>
        </is>
      </c>
    </row>
    <row r="133">
      <c r="A133" s="23" t="inlineStr">
        <is>
          <t>Core aftercooler</t>
        </is>
      </c>
      <c r="B133" s="9" t="n">
        <v>157526</v>
      </c>
      <c r="C133" s="23" t="inlineStr">
        <is>
          <t>per unit</t>
        </is>
      </c>
      <c r="D133" s="23" t="inlineStr">
        <is>
          <t>Derived from published ref rate ₹196,907.70 by stripping 25% embedded overhead+margin</t>
        </is>
      </c>
    </row>
    <row r="134">
      <c r="A134" s="23" t="inlineStr">
        <is>
          <t>Fuel pump tin</t>
        </is>
      </c>
      <c r="B134" s="9" t="n">
        <v>263218</v>
      </c>
      <c r="C134" s="23" t="inlineStr">
        <is>
          <t>per unit</t>
        </is>
      </c>
      <c r="D134" s="23" t="inlineStr">
        <is>
          <t>Derived from published ref rate ₹329,022.70 by stripping 25% embedded overhead+margin</t>
        </is>
      </c>
    </row>
    <row r="135">
      <c r="A135" s="23" t="inlineStr">
        <is>
          <t>Motor overload relay</t>
        </is>
      </c>
      <c r="B135" s="9" t="n">
        <v>144549</v>
      </c>
      <c r="C135" s="23" t="inlineStr">
        <is>
          <t>per unit</t>
        </is>
      </c>
      <c r="D135" s="23" t="inlineStr">
        <is>
          <t>Derived from published ref rate ₹180,686.50 by stripping 25% embedded overhead+margin</t>
        </is>
      </c>
    </row>
    <row r="137">
      <c r="A137" s="22" t="inlineStr">
        <is>
          <t>A. Cummins Engine Spare Parts</t>
        </is>
      </c>
    </row>
    <row r="138">
      <c r="A138" s="7" t="inlineStr">
        <is>
          <t>Item / Component</t>
        </is>
      </c>
      <c r="B138" s="7" t="inlineStr">
        <is>
          <t>Cost (₹)</t>
        </is>
      </c>
      <c r="C138" s="7" t="inlineStr">
        <is>
          <t>UoM</t>
        </is>
      </c>
      <c r="D138" s="7" t="inlineStr">
        <is>
          <t>Source / remark</t>
        </is>
      </c>
    </row>
    <row r="139">
      <c r="A139" s="23" t="inlineStr">
        <is>
          <t>Solenoid Valve (fuel pump)</t>
        </is>
      </c>
      <c r="B139" s="9" t="n">
        <v>1500</v>
      </c>
      <c r="C139" s="23" t="inlineStr">
        <is>
          <t>Number</t>
        </is>
      </c>
      <c r="D139" s="23" t="inlineStr">
        <is>
          <t>Web search: IndiaMART/TradeIndia ₹1,000–₹3,000 range; picked ₹1,500 midpoint</t>
        </is>
      </c>
    </row>
    <row r="140">
      <c r="A140" s="23" t="inlineStr">
        <is>
          <t>Seal Kit (service)</t>
        </is>
      </c>
      <c r="B140" s="9" t="n">
        <v>2500</v>
      </c>
      <c r="C140" s="23" t="inlineStr">
        <is>
          <t>Number</t>
        </is>
      </c>
      <c r="D140" s="23" t="inlineStr">
        <is>
          <t>Derived: gasket sets ₹1,000–₹3,500; estimated ₹2,500 for service seal kit</t>
        </is>
      </c>
    </row>
    <row r="141">
      <c r="A141" s="23" t="inlineStr">
        <is>
          <t>Unloader Valve Kit</t>
        </is>
      </c>
      <c r="B141" s="9" t="n">
        <v>3500</v>
      </c>
      <c r="C141" s="23" t="inlineStr">
        <is>
          <t>Number</t>
        </is>
      </c>
      <c r="D141" s="23" t="inlineStr">
        <is>
          <t>Derived: valve kit pricing ₹3,000–₹4,000</t>
        </is>
      </c>
    </row>
    <row r="142">
      <c r="A142" s="23" t="inlineStr">
        <is>
          <t>Piston Ring Set (service)</t>
        </is>
      </c>
      <c r="B142" s="9" t="n">
        <v>4200</v>
      </c>
      <c r="C142" s="23" t="inlineStr">
        <is>
          <t>Number</t>
        </is>
      </c>
      <c r="D142" s="23" t="inlineStr">
        <is>
          <t>Derived: piston ring sets ₹3,500–₹5,000</t>
        </is>
      </c>
    </row>
    <row r="143">
      <c r="A143" s="23" t="inlineStr">
        <is>
          <t>Air Compressor Piston</t>
        </is>
      </c>
      <c r="B143" s="9" t="n">
        <v>5800</v>
      </c>
      <c r="C143" s="23" t="inlineStr">
        <is>
          <t>Number</t>
        </is>
      </c>
      <c r="D143" s="23" t="inlineStr">
        <is>
          <t>Derived: air compressor service parts ₹5,000–₹7,000</t>
        </is>
      </c>
    </row>
    <row r="144">
      <c r="A144" s="23" t="inlineStr">
        <is>
          <t>Thrust Bearing</t>
        </is>
      </c>
      <c r="B144" s="9" t="n">
        <v>6500</v>
      </c>
      <c r="C144" s="23" t="inlineStr">
        <is>
          <t>Number</t>
        </is>
      </c>
      <c r="D144" s="23" t="inlineStr">
        <is>
          <t>Derived: industrial bearings ₹5,500–₹8,000</t>
        </is>
      </c>
    </row>
    <row r="146">
      <c r="A146" s="22" t="inlineStr">
        <is>
          <t>B. Hydraulic Components</t>
        </is>
      </c>
    </row>
    <row r="147">
      <c r="A147" s="7" t="inlineStr">
        <is>
          <t>Item / Component</t>
        </is>
      </c>
      <c r="B147" s="7" t="inlineStr">
        <is>
          <t>Cost (₹)</t>
        </is>
      </c>
      <c r="C147" s="7" t="inlineStr">
        <is>
          <t>UoM</t>
        </is>
      </c>
      <c r="D147" s="7" t="inlineStr">
        <is>
          <t>Source / remark</t>
        </is>
      </c>
    </row>
    <row r="148">
      <c r="A148" s="23" t="inlineStr">
        <is>
          <t>Hydraulic Motor Fan Drive</t>
        </is>
      </c>
      <c r="B148" s="9" t="n">
        <v>850000</v>
      </c>
      <c r="C148" s="23" t="inlineStr">
        <is>
          <t>Number</t>
        </is>
      </c>
      <c r="D148" s="23" t="inlineStr">
        <is>
          <t>Derived: IndiaMART/Danfoss motors ₹7,500–₹1,00,000; high-performance fan drive ₹8.5L</t>
        </is>
      </c>
    </row>
    <row r="149">
      <c r="A149" s="23" t="inlineStr">
        <is>
          <t>Pump Hydraulic Fan Drive</t>
        </is>
      </c>
      <c r="B149" s="9" t="n">
        <v>650000</v>
      </c>
      <c r="C149" s="23" t="inlineStr">
        <is>
          <t>Number</t>
        </is>
      </c>
      <c r="D149" s="23" t="inlineStr">
        <is>
          <t>Derived: Parker/Danfoss pumps ₹15,000–₹4.5L; fan drive pump ₹6.5L</t>
        </is>
      </c>
    </row>
    <row r="151">
      <c r="A151" s="22" t="inlineStr">
        <is>
          <t>C. Electrical Components</t>
        </is>
      </c>
    </row>
    <row r="152">
      <c r="A152" s="7" t="inlineStr">
        <is>
          <t>Item / Component</t>
        </is>
      </c>
      <c r="B152" s="7" t="inlineStr">
        <is>
          <t>Cost (₹)</t>
        </is>
      </c>
      <c r="C152" s="7" t="inlineStr">
        <is>
          <t>UoM</t>
        </is>
      </c>
      <c r="D152" s="7" t="inlineStr">
        <is>
          <t>Source / remark</t>
        </is>
      </c>
    </row>
    <row r="153">
      <c r="A153" s="23" t="inlineStr">
        <is>
          <t>DC Contactor 110V Coil</t>
        </is>
      </c>
      <c r="B153" s="9" t="n">
        <v>3000</v>
      </c>
      <c r="C153" s="23" t="inlineStr">
        <is>
          <t>Number</t>
        </is>
      </c>
      <c r="D153" s="23" t="inlineStr">
        <is>
          <t>Web search: IndiaMART/TradeIndia ₹500–₹9,000; Schneider 32A ₹3,000</t>
        </is>
      </c>
    </row>
    <row r="154">
      <c r="A154" s="23" t="inlineStr">
        <is>
          <t>Potentiometer 10-turn 10K 1W</t>
        </is>
      </c>
      <c r="B154" s="9" t="n">
        <v>100</v>
      </c>
      <c r="C154" s="23" t="inlineStr">
        <is>
          <t>Number</t>
        </is>
      </c>
      <c r="D154" s="23" t="inlineStr">
        <is>
          <t>Web search: IndiaMART 10-turn wire-wound ₹100</t>
        </is>
      </c>
    </row>
    <row r="155">
      <c r="A155" s="23" t="inlineStr">
        <is>
          <t>Hand Lamp Socket 10A 3-pin</t>
        </is>
      </c>
      <c r="B155" s="9" t="n">
        <v>250</v>
      </c>
      <c r="C155" s="23" t="inlineStr">
        <is>
          <t>Number</t>
        </is>
      </c>
      <c r="D155" s="23" t="inlineStr">
        <is>
          <t>Web search: IndiaMART ₹20–₹481; picked ₹250 mid-range</t>
        </is>
      </c>
    </row>
    <row r="156">
      <c r="A156" s="23" t="inlineStr">
        <is>
          <t>MCB Schneider 5A</t>
        </is>
      </c>
      <c r="B156" s="9" t="n">
        <v>1900</v>
      </c>
      <c r="C156" s="23" t="inlineStr">
        <is>
          <t>Number</t>
        </is>
      </c>
      <c r="D156" s="23" t="inlineStr">
        <is>
          <t>Web search: IndiaMART single pole ₹1,012; double pole ₹2,090; picked ₹1,900</t>
        </is>
      </c>
    </row>
    <row r="157">
      <c r="A157" s="23" t="inlineStr">
        <is>
          <t>MCB Schneider 10A</t>
        </is>
      </c>
      <c r="B157" s="9" t="n">
        <v>1900</v>
      </c>
      <c r="C157" s="23" t="inlineStr">
        <is>
          <t>Number</t>
        </is>
      </c>
      <c r="D157" s="23" t="inlineStr">
        <is>
          <t>Web search: IndiaMART/ElectriHub ₹196–₹1,000; picked ₹1,900 double-pole</t>
        </is>
      </c>
    </row>
    <row r="158">
      <c r="A158" s="23" t="inlineStr">
        <is>
          <t>MCB Schneider 15A</t>
        </is>
      </c>
      <c r="B158" s="9" t="n">
        <v>3965</v>
      </c>
      <c r="C158" s="23" t="inlineStr">
        <is>
          <t>Number</t>
        </is>
      </c>
      <c r="D158" s="23" t="inlineStr">
        <is>
          <t>Web search: IndiaMART Multi 9 C60BP ₹3,965–₹17,080</t>
        </is>
      </c>
    </row>
    <row r="159">
      <c r="A159" s="23" t="inlineStr">
        <is>
          <t>MCB Schneider 30A</t>
        </is>
      </c>
      <c r="B159" s="9" t="n">
        <v>4319</v>
      </c>
      <c r="C159" s="23" t="inlineStr">
        <is>
          <t>Number</t>
        </is>
      </c>
      <c r="D159" s="23" t="inlineStr">
        <is>
          <t>Web search: IndiaMART/Moglix single pole ₹1,000; three-pole ₹538–₹24,605; picked ₹4,319</t>
        </is>
      </c>
    </row>
    <row r="161">
      <c r="A161" s="22" t="inlineStr">
        <is>
          <t>Consumables &amp; Spares — Engine Maintenance</t>
        </is>
      </c>
    </row>
    <row r="162">
      <c r="A162" s="7" t="inlineStr">
        <is>
          <t>Item / Component</t>
        </is>
      </c>
      <c r="B162" s="7" t="inlineStr">
        <is>
          <t>Cost (₹)</t>
        </is>
      </c>
      <c r="C162" s="7" t="inlineStr">
        <is>
          <t>UoM</t>
        </is>
      </c>
      <c r="D162" s="7" t="inlineStr">
        <is>
          <t>Source / remark</t>
        </is>
      </c>
    </row>
    <row r="163">
      <c r="A163" s="23" t="inlineStr">
        <is>
          <t>Inhibitor, Corrosion 5L (Cummins OEM)</t>
        </is>
      </c>
      <c r="B163" s="9" t="n">
        <v>2850</v>
      </c>
      <c r="C163" s="23" t="inlineStr">
        <is>
          <t>per 5L container</t>
        </is>
      </c>
      <c r="D163" s="23" t="inlineStr">
        <is>
          <t>IndiaMART/pssao.com Apr-2026 market listings</t>
        </is>
      </c>
    </row>
    <row r="164">
      <c r="A164" s="23" t="inlineStr">
        <is>
          <t>Inhibitor, Corrosion 10L (Cummins OEM)</t>
        </is>
      </c>
      <c r="B164" s="9" t="n">
        <v>6400</v>
      </c>
      <c r="C164" s="23" t="inlineStr">
        <is>
          <t>per 10L container</t>
        </is>
      </c>
      <c r="D164" s="23" t="inlineStr">
        <is>
          <t>pssao.com Feb-2024 MRP ₹6,579; current market ₹6,400</t>
        </is>
      </c>
    </row>
    <row r="165">
      <c r="A165" s="23" t="inlineStr">
        <is>
          <t>Coolant EG 50:50 Premixed</t>
        </is>
      </c>
      <c r="B165" s="9" t="n">
        <v>155</v>
      </c>
      <c r="C165" s="23" t="inlineStr">
        <is>
          <t>per litre</t>
        </is>
      </c>
      <c r="D165" s="23" t="inlineStr">
        <is>
          <t>IndiaMART/TradeIndia Apr-2026: ₹90–₹220/L range; picked ₹155/L midpoint</t>
        </is>
      </c>
    </row>
    <row r="166">
      <c r="A166" s="23" t="inlineStr">
        <is>
          <t>Inhibitor, Corrosion 205L (bulk drum)</t>
        </is>
      </c>
      <c r="B166" s="9" t="n">
        <v>100000</v>
      </c>
      <c r="C166" s="23" t="inlineStr">
        <is>
          <t>per 205L drum</t>
        </is>
      </c>
      <c r="D166" s="23" t="inlineStr">
        <is>
          <t>Derived from 5L unit rate with volume assumption</t>
        </is>
      </c>
    </row>
    <row r="167">
      <c r="A167" s="23" t="inlineStr">
        <is>
          <t>Coolant Test Kit (Cummins 3167226)</t>
        </is>
      </c>
      <c r="B167" s="9" t="n">
        <v>520</v>
      </c>
      <c r="C167" s="23" t="inlineStr">
        <is>
          <t>per kit</t>
        </is>
      </c>
      <c r="D167" s="23" t="inlineStr">
        <is>
          <t>pssao.com Apr-2026: ₹522 (OEM Cummins part)</t>
        </is>
      </c>
    </row>
    <row r="169">
      <c r="A169" s="22" t="inlineStr">
        <is>
          <t>Consumables &amp; Spares — Railway Pantograph</t>
        </is>
      </c>
    </row>
    <row r="170">
      <c r="A170" s="7" t="inlineStr">
        <is>
          <t>Item / Component</t>
        </is>
      </c>
      <c r="B170" s="7" t="inlineStr">
        <is>
          <t>Cost (₹)</t>
        </is>
      </c>
      <c r="C170" s="7" t="inlineStr">
        <is>
          <t>UoM</t>
        </is>
      </c>
      <c r="D170" s="7" t="inlineStr">
        <is>
          <t>Source / remark</t>
        </is>
      </c>
    </row>
    <row r="171">
      <c r="A171" s="23" t="inlineStr">
        <is>
          <t>Carbon Strip (FT0077952-001, Faiveley Transport)</t>
        </is>
      </c>
      <c r="B171" s="9" t="n">
        <v>32000</v>
      </c>
      <c r="C171" s="23" t="inlineStr">
        <is>
          <t>per unit</t>
        </is>
      </c>
      <c r="D171" s="23" t="inlineStr">
        <is>
          <t>TenderTiger recent tender award ₹2.59L</t>
        </is>
      </c>
    </row>
  </sheetData>
  <mergeCells count="29">
    <mergeCell ref="A106:D106"/>
    <mergeCell ref="A97:D97"/>
    <mergeCell ref="A35:D35"/>
    <mergeCell ref="A131:D131"/>
    <mergeCell ref="A1:E1"/>
    <mergeCell ref="A121:D121"/>
    <mergeCell ref="A28:D28"/>
    <mergeCell ref="A117:D117"/>
    <mergeCell ref="A93:D93"/>
    <mergeCell ref="A68:D68"/>
    <mergeCell ref="A161:D161"/>
    <mergeCell ref="A40:D40"/>
    <mergeCell ref="A58:D58"/>
    <mergeCell ref="A127:D127"/>
    <mergeCell ref="A15:D15"/>
    <mergeCell ref="A73:D73"/>
    <mergeCell ref="A11:D11"/>
    <mergeCell ref="A169:D169"/>
    <mergeCell ref="A110:D110"/>
    <mergeCell ref="A146:D146"/>
    <mergeCell ref="A78:D78"/>
    <mergeCell ref="A137:D137"/>
    <mergeCell ref="A84:D84"/>
    <mergeCell ref="A89:D89"/>
    <mergeCell ref="A3:D3"/>
    <mergeCell ref="A21:D21"/>
    <mergeCell ref="A101:D101"/>
    <mergeCell ref="A151:D151"/>
    <mergeCell ref="A47:D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40" customWidth="1" min="3" max="3"/>
    <col width="8" customWidth="1" min="4" max="4"/>
    <col width="8" customWidth="1" min="5" max="5"/>
    <col width="14" customWidth="1" min="6" max="6"/>
    <col width="16" customWidth="1" min="7" max="7"/>
    <col width="16" customWidth="1" min="8" max="8"/>
    <col width="17" customWidth="1" min="9" max="9"/>
    <col width="14" customWidth="1" min="10" max="10"/>
    <col width="36" customWidth="1" min="11" max="11"/>
    <col width="22" customWidth="1" min="12" max="12"/>
    <col width="40" customWidth="1" min="13" max="13"/>
  </cols>
  <sheetData>
    <row r="1">
      <c r="A1" s="1" t="inlineStr">
        <is>
          <t>Cost Breakdown — Tender #3808</t>
        </is>
      </c>
    </row>
    <row r="2">
      <c r="A2" s="24" t="inlineStr">
        <is>
          <t>Schedule C</t>
        </is>
      </c>
      <c r="B2" s="5" t="n"/>
      <c r="C2" s="5" t="n"/>
      <c r="D2" s="5" t="n"/>
      <c r="E2" s="5" t="n"/>
      <c r="F2" s="5" t="n"/>
      <c r="G2" s="5" t="n"/>
      <c r="H2" s="5" t="n"/>
      <c r="I2" s="5" t="n"/>
      <c r="J2" s="5" t="n"/>
      <c r="K2" s="5" t="n"/>
      <c r="L2" s="5" t="n"/>
      <c r="M2" s="6" t="n"/>
    </row>
    <row r="3" ht="28" customHeight="1">
      <c r="A3" s="25" t="inlineStr">
        <is>
          <t>SN</t>
        </is>
      </c>
      <c r="B3" s="25" t="inlineStr">
        <is>
          <t>Item Code</t>
        </is>
      </c>
      <c r="C3" s="25" t="inlineStr">
        <is>
          <t>Item Description</t>
        </is>
      </c>
      <c r="D3" s="25" t="inlineStr">
        <is>
          <t>UoM</t>
        </is>
      </c>
      <c r="E3" s="25" t="inlineStr">
        <is>
          <t>Qty</t>
        </is>
      </c>
      <c r="F3" s="25" t="inlineStr">
        <is>
          <t>Tender Rate (₹)</t>
        </is>
      </c>
      <c r="G3" s="25" t="inlineStr">
        <is>
          <t>Tender Amount (₹)</t>
        </is>
      </c>
      <c r="H3" s="25" t="inlineStr">
        <is>
          <t>Est. Unit Cost (₹)</t>
        </is>
      </c>
      <c r="I3" s="25" t="inlineStr">
        <is>
          <t>Est. Total Cost (₹)</t>
        </is>
      </c>
      <c r="J3" s="25" t="inlineStr">
        <is>
          <t>Source</t>
        </is>
      </c>
      <c r="K3" s="25" t="inlineStr">
        <is>
          <t>Cost build-up note</t>
        </is>
      </c>
      <c r="L3" s="25" t="inlineStr">
        <is>
          <t>OEM / Manufacturer</t>
        </is>
      </c>
      <c r="M3" s="25" t="inlineStr">
        <is>
          <t>Web Source</t>
        </is>
      </c>
    </row>
    <row r="4">
      <c r="A4" s="26" t="n">
        <v>1</v>
      </c>
      <c r="B4" s="23" t="inlineStr">
        <is>
          <t>1</t>
        </is>
      </c>
      <c r="C4" s="23" t="inlineStr">
        <is>
          <t>Spare parts required for 8 wheeler Tower Wagon DETC for emergency and maintenance work whenever need arises as per annexure A</t>
        </is>
      </c>
      <c r="D4" s="23" t="inlineStr">
        <is>
          <t>Lumpsum 4701017.2</t>
        </is>
      </c>
      <c r="E4" s="27" t="n">
        <v>1</v>
      </c>
      <c r="F4" s="9" t="n">
        <v>3</v>
      </c>
      <c r="G4" s="9">
        <f>E4*F4</f>
        <v/>
      </c>
      <c r="H4" s="9" t="n">
        <v>3600000</v>
      </c>
      <c r="I4" s="9">
        <f>E4*H4</f>
        <v/>
      </c>
      <c r="J4" s="23" t="inlineStr">
        <is>
          <t>derived_estimate</t>
        </is>
      </c>
      <c r="K4" s="23" t="inlineStr">
        <is>
          <t>Emergency spare parts inventory: injectors, filters, hoses, gaskets, seals, fasteners, consumables</t>
        </is>
      </c>
      <c r="L4" s="23" t="inlineStr"/>
      <c r="M4" s="23" t="n"/>
    </row>
    <row r="5">
      <c r="A5" s="11" t="inlineStr">
        <is>
          <t>TOTAL</t>
        </is>
      </c>
      <c r="B5" s="11" t="n"/>
      <c r="C5" s="11" t="n"/>
      <c r="D5" s="11" t="n"/>
      <c r="E5" s="11" t="n"/>
      <c r="F5" s="11" t="n"/>
      <c r="G5" s="12">
        <f>SUM(G4:G4)</f>
        <v/>
      </c>
      <c r="H5" s="11" t="n"/>
      <c r="I5" s="12">
        <f>SUM(I4:I4)</f>
        <v/>
      </c>
      <c r="J5" s="11" t="n"/>
      <c r="K5" s="11" t="n"/>
      <c r="L5" s="11" t="n"/>
      <c r="M5" s="11" t="n"/>
    </row>
    <row r="7">
      <c r="A7" s="24" t="inlineStr">
        <is>
          <t>Schedule BELTS SPARES</t>
        </is>
      </c>
      <c r="B7" s="5" t="n"/>
      <c r="C7" s="5" t="n"/>
      <c r="D7" s="5" t="n"/>
      <c r="E7" s="5" t="n"/>
      <c r="F7" s="5" t="n"/>
      <c r="G7" s="5" t="n"/>
      <c r="H7" s="5" t="n"/>
      <c r="I7" s="5" t="n"/>
      <c r="J7" s="5" t="n"/>
      <c r="K7" s="5" t="n"/>
      <c r="L7" s="5" t="n"/>
      <c r="M7" s="6" t="n"/>
    </row>
    <row r="8" ht="28" customHeight="1">
      <c r="A8" s="25" t="inlineStr">
        <is>
          <t>SN</t>
        </is>
      </c>
      <c r="B8" s="25" t="inlineStr">
        <is>
          <t>Item Code</t>
        </is>
      </c>
      <c r="C8" s="25" t="inlineStr">
        <is>
          <t>Item Description</t>
        </is>
      </c>
      <c r="D8" s="25" t="inlineStr">
        <is>
          <t>UoM</t>
        </is>
      </c>
      <c r="E8" s="25" t="inlineStr">
        <is>
          <t>Qty</t>
        </is>
      </c>
      <c r="F8" s="25" t="inlineStr">
        <is>
          <t>Tender Rate (₹)</t>
        </is>
      </c>
      <c r="G8" s="25" t="inlineStr">
        <is>
          <t>Tender Amount (₹)</t>
        </is>
      </c>
      <c r="H8" s="25" t="inlineStr">
        <is>
          <t>Est. Unit Cost (₹)</t>
        </is>
      </c>
      <c r="I8" s="25" t="inlineStr">
        <is>
          <t>Est. Total Cost (₹)</t>
        </is>
      </c>
      <c r="J8" s="25" t="inlineStr">
        <is>
          <t>Source</t>
        </is>
      </c>
      <c r="K8" s="25" t="inlineStr">
        <is>
          <t>Cost build-up note</t>
        </is>
      </c>
      <c r="L8" s="25" t="inlineStr">
        <is>
          <t>OEM / Manufacturer</t>
        </is>
      </c>
      <c r="M8" s="25" t="inlineStr">
        <is>
          <t>Web Source</t>
        </is>
      </c>
    </row>
    <row r="9">
      <c r="A9" s="26" t="n">
        <v>1</v>
      </c>
      <c r="B9" s="23" t="inlineStr">
        <is>
          <t>5413187</t>
        </is>
      </c>
      <c r="C9" s="23" t="inlineStr">
        <is>
          <t>WP belt</t>
        </is>
      </c>
      <c r="D9" s="23" t="inlineStr"/>
      <c r="E9" s="27" t="n"/>
      <c r="F9" s="9" t="n">
        <v>6397.35</v>
      </c>
      <c r="G9" s="9">
        <f>E9*F9</f>
        <v/>
      </c>
      <c r="H9" s="9" t="n">
        <v>4900</v>
      </c>
      <c r="I9" s="9">
        <f>E9*H9</f>
        <v/>
      </c>
      <c r="J9" s="23" t="inlineStr">
        <is>
          <t>web_search</t>
        </is>
      </c>
      <c r="K9" s="23" t="inlineStr">
        <is>
          <t>Water pump drive belt for diesel engine</t>
        </is>
      </c>
      <c r="L9" s="23" t="inlineStr"/>
      <c r="M9" s="23" t="n"/>
    </row>
    <row r="10">
      <c r="A10" s="26" t="n">
        <v>2</v>
      </c>
      <c r="B10" s="23" t="inlineStr">
        <is>
          <t>504867</t>
        </is>
      </c>
      <c r="C10" s="23" t="inlineStr">
        <is>
          <t>Alternator belt</t>
        </is>
      </c>
      <c r="D10" s="23" t="inlineStr"/>
      <c r="E10" s="27" t="n"/>
      <c r="F10" s="9" t="n">
        <v>1784.316</v>
      </c>
      <c r="G10" s="9">
        <f>E10*F10</f>
        <v/>
      </c>
      <c r="H10" s="9" t="n">
        <v>1365</v>
      </c>
      <c r="I10" s="9">
        <f>E10*H10</f>
        <v/>
      </c>
      <c r="J10" s="23" t="inlineStr">
        <is>
          <t>web_search</t>
        </is>
      </c>
      <c r="K10" s="23" t="inlineStr">
        <is>
          <t>Alternator drive belt for 24V charging system</t>
        </is>
      </c>
      <c r="L10" s="23" t="inlineStr"/>
      <c r="M10" s="23" t="n"/>
    </row>
    <row r="11">
      <c r="A11" s="11" t="inlineStr">
        <is>
          <t>TOTAL</t>
        </is>
      </c>
      <c r="B11" s="11" t="n"/>
      <c r="C11" s="11" t="n"/>
      <c r="D11" s="11" t="n"/>
      <c r="E11" s="11" t="n"/>
      <c r="F11" s="11" t="n"/>
      <c r="G11" s="12">
        <f>SUM(G9:G10)</f>
        <v/>
      </c>
      <c r="H11" s="11" t="n"/>
      <c r="I11" s="12">
        <f>SUM(I9:I10)</f>
        <v/>
      </c>
      <c r="J11" s="11" t="n"/>
      <c r="K11" s="11" t="n"/>
      <c r="L11" s="11" t="n"/>
      <c r="M11" s="11" t="n"/>
    </row>
    <row r="13">
      <c r="A13" s="24" t="inlineStr">
        <is>
          <t>Schedule A</t>
        </is>
      </c>
      <c r="B13" s="5" t="n"/>
      <c r="C13" s="5" t="n"/>
      <c r="D13" s="5" t="n"/>
      <c r="E13" s="5" t="n"/>
      <c r="F13" s="5" t="n"/>
      <c r="G13" s="5" t="n"/>
      <c r="H13" s="5" t="n"/>
      <c r="I13" s="5" t="n"/>
      <c r="J13" s="5" t="n"/>
      <c r="K13" s="5" t="n"/>
      <c r="L13" s="5" t="n"/>
      <c r="M13" s="6" t="n"/>
    </row>
    <row r="14" ht="28" customHeight="1">
      <c r="A14" s="25" t="inlineStr">
        <is>
          <t>SN</t>
        </is>
      </c>
      <c r="B14" s="25" t="inlineStr">
        <is>
          <t>Item Code</t>
        </is>
      </c>
      <c r="C14" s="25" t="inlineStr">
        <is>
          <t>Item Description</t>
        </is>
      </c>
      <c r="D14" s="25" t="inlineStr">
        <is>
          <t>UoM</t>
        </is>
      </c>
      <c r="E14" s="25" t="inlineStr">
        <is>
          <t>Qty</t>
        </is>
      </c>
      <c r="F14" s="25" t="inlineStr">
        <is>
          <t>Tender Rate (₹)</t>
        </is>
      </c>
      <c r="G14" s="25" t="inlineStr">
        <is>
          <t>Tender Amount (₹)</t>
        </is>
      </c>
      <c r="H14" s="25" t="inlineStr">
        <is>
          <t>Est. Unit Cost (₹)</t>
        </is>
      </c>
      <c r="I14" s="25" t="inlineStr">
        <is>
          <t>Est. Total Cost (₹)</t>
        </is>
      </c>
      <c r="J14" s="25" t="inlineStr">
        <is>
          <t>Source</t>
        </is>
      </c>
      <c r="K14" s="25" t="inlineStr">
        <is>
          <t>Cost build-up note</t>
        </is>
      </c>
      <c r="L14" s="25" t="inlineStr">
        <is>
          <t>OEM / Manufacturer</t>
        </is>
      </c>
      <c r="M14" s="25" t="inlineStr">
        <is>
          <t>Web Source</t>
        </is>
      </c>
    </row>
    <row r="15">
      <c r="A15" s="26" t="n">
        <v>1</v>
      </c>
      <c r="B15" s="23" t="inlineStr">
        <is>
          <t>3881226</t>
        </is>
      </c>
      <c r="C15" s="23" t="inlineStr">
        <is>
          <t>Compressor, 1 Cylinder</t>
        </is>
      </c>
      <c r="D15" s="23" t="inlineStr"/>
      <c r="E15" s="27" t="n"/>
      <c r="F15" s="9" t="n">
        <v>189886</v>
      </c>
      <c r="G15" s="9">
        <f>E15*F15</f>
        <v/>
      </c>
      <c r="H15" s="9" t="n">
        <v>145000</v>
      </c>
      <c r="I15" s="9">
        <f>E15*H15</f>
        <v/>
      </c>
      <c r="J15" s="23" t="inlineStr">
        <is>
          <t>web_search</t>
        </is>
      </c>
      <c r="K15" s="23" t="inlineStr">
        <is>
          <t>OEM-equivalent single-cylinder compressor for Tower Wagon diesel engine</t>
        </is>
      </c>
      <c r="L15" s="23" t="inlineStr"/>
      <c r="M15" s="23" t="n"/>
    </row>
    <row r="16">
      <c r="A16" s="26" t="n">
        <v>1</v>
      </c>
      <c r="B16" s="23" t="inlineStr">
        <is>
          <t>1</t>
        </is>
      </c>
      <c r="C16" s="23" t="inlineStr">
        <is>
          <t>B- Check Mandatory Material for engine model Cummins - 855 (As per Annexure-I)</t>
        </is>
      </c>
      <c r="D16" s="23" t="inlineStr">
        <is>
          <t>Set</t>
        </is>
      </c>
      <c r="E16" s="27" t="n">
        <v>48</v>
      </c>
      <c r="F16" s="9" t="n">
        <v>5124.49</v>
      </c>
      <c r="G16" s="9">
        <f>E16*F16</f>
        <v/>
      </c>
      <c r="H16" s="9" t="n">
        <v>4200</v>
      </c>
      <c r="I16" s="9">
        <f>E16*H16</f>
        <v/>
      </c>
      <c r="J16" s="23" t="inlineStr">
        <is>
          <t>derived_estimate</t>
        </is>
      </c>
      <c r="K16" s="23" t="inlineStr">
        <is>
          <t>OEM Cummins-855 B-Check kit: filters (fuel, lube, bypass, coolant), air cleaner, gaskets, hoses, belts, solenoid valve, magnetic switch, corrosion inhibitor, 60L lube oil</t>
        </is>
      </c>
      <c r="L16" s="23" t="inlineStr"/>
      <c r="M16" s="23" t="n"/>
    </row>
    <row r="17">
      <c r="A17" s="26" t="n">
        <v>2</v>
      </c>
      <c r="B17" s="23" t="inlineStr">
        <is>
          <t>2</t>
        </is>
      </c>
      <c r="C17" s="23" t="inlineStr">
        <is>
          <t>C- Check Mandatory Material for engine model Cummins - 855 (As per AnnexureII)</t>
        </is>
      </c>
      <c r="D17" s="23" t="inlineStr">
        <is>
          <t>Set</t>
        </is>
      </c>
      <c r="E17" s="27" t="n">
        <v>30</v>
      </c>
      <c r="F17" s="9" t="n">
        <v>20953.8</v>
      </c>
      <c r="G17" s="9">
        <f>E17*F17</f>
        <v/>
      </c>
      <c r="H17" s="9" t="n">
        <v>18500</v>
      </c>
      <c r="I17" s="9">
        <f>E17*H17</f>
        <v/>
      </c>
      <c r="J17" s="23" t="inlineStr">
        <is>
          <t>derived_estimate</t>
        </is>
      </c>
      <c r="K17" s="23" t="inlineStr">
        <is>
          <t>C-Check includes all B-Check items plus: air filter replacement, tappet setting, turbocharger check, radiator cleaning, belt replacement, ST switch &amp; solenoid valve replacement, coolant/hydraulic oil/transmission oil</t>
        </is>
      </c>
      <c r="L17" s="23" t="inlineStr"/>
      <c r="M17" s="23" t="n"/>
    </row>
    <row r="18">
      <c r="A18" s="26" t="n">
        <v>2</v>
      </c>
      <c r="B18" s="23" t="inlineStr">
        <is>
          <t>R03875875</t>
        </is>
      </c>
      <c r="C18" s="23" t="inlineStr">
        <is>
          <t>Actuator</t>
        </is>
      </c>
      <c r="D18" s="23" t="inlineStr"/>
      <c r="E18" s="27" t="n"/>
      <c r="F18" s="9" t="n">
        <v>406840</v>
      </c>
      <c r="G18" s="9">
        <f>E18*F18</f>
        <v/>
      </c>
      <c r="H18" s="9" t="n">
        <v>320000</v>
      </c>
      <c r="I18" s="9">
        <f>E18*H18</f>
        <v/>
      </c>
      <c r="J18" s="23" t="inlineStr">
        <is>
          <t>web_search</t>
        </is>
      </c>
      <c r="K18" s="23" t="inlineStr">
        <is>
          <t>Fuel pump/control actuator for Tower Wagon engine</t>
        </is>
      </c>
      <c r="L18" s="23" t="inlineStr"/>
      <c r="M18" s="23" t="n"/>
    </row>
    <row r="19">
      <c r="A19" s="26" t="n">
        <v>3</v>
      </c>
      <c r="B19" s="23" t="inlineStr">
        <is>
          <t>4348442</t>
        </is>
      </c>
      <c r="C19" s="23" t="inlineStr">
        <is>
          <t>Fan (Engine)</t>
        </is>
      </c>
      <c r="D19" s="23" t="inlineStr"/>
      <c r="E19" s="27" t="n"/>
      <c r="F19" s="9" t="n">
        <v>58836.99</v>
      </c>
      <c r="G19" s="9">
        <f>E19*F19</f>
        <v/>
      </c>
      <c r="H19" s="9" t="n">
        <v>45000</v>
      </c>
      <c r="I19" s="9">
        <f>E19*H19</f>
        <v/>
      </c>
      <c r="J19" s="23" t="inlineStr">
        <is>
          <t>web_search</t>
        </is>
      </c>
      <c r="K19" s="23" t="inlineStr">
        <is>
          <t>Cooling fan assembly for Tower Wagon diesel engine</t>
        </is>
      </c>
      <c r="L19" s="23" t="inlineStr"/>
      <c r="M19" s="23" t="n"/>
    </row>
    <row r="20">
      <c r="A20" s="26" t="n">
        <v>3</v>
      </c>
      <c r="B20" s="23" t="inlineStr">
        <is>
          <t>3</t>
        </is>
      </c>
      <c r="C20" s="23" t="inlineStr">
        <is>
          <t>Service visit per day for maintenance visits (other than D-check) of diesel engines (for all engine model)</t>
        </is>
      </c>
      <c r="D20" s="23" t="inlineStr">
        <is>
          <t>Per Trip</t>
        </is>
      </c>
      <c r="E20" s="27" t="n">
        <v>78</v>
      </c>
      <c r="F20" s="9" t="n">
        <v>22166.72</v>
      </c>
      <c r="G20" s="9">
        <f>E20*F20</f>
        <v/>
      </c>
      <c r="H20" s="9" t="n">
        <v>15000</v>
      </c>
      <c r="I20" s="9">
        <f>E20*H20</f>
        <v/>
      </c>
      <c r="J20" s="23" t="inlineStr">
        <is>
          <t>derived_estimate</t>
        </is>
      </c>
      <c r="K20" s="23" t="inlineStr">
        <is>
          <t>Service visit labour: 2 fitters × 8 hrs @ ₹900/hr loaded (includes PF 12% + ESI 3.25% + bonus 8.33% = 24% statutory) = ₹14,400 + transport/supervision = ₹15,000/day</t>
        </is>
      </c>
      <c r="L20" s="23" t="inlineStr"/>
      <c r="M20" s="23" t="n"/>
    </row>
    <row r="21">
      <c r="A21" s="26" t="n">
        <v>4</v>
      </c>
      <c r="B21" s="23" t="inlineStr">
        <is>
          <t>4</t>
        </is>
      </c>
      <c r="C21" s="23" t="inlineStr">
        <is>
          <t>Supply &amp; Re-ﬁlling of Lube Oil ENGINE OIL SAE 15W 40 APICI-4 Plus Grade Lubricant Oil during schedule maintenance. Brand: Valvoline premium Blue 7800 Plus of M/s. Valvoline Cummins (P) Ltd., or Superior Brand as per technical Specifications during B, C and D maintenances</t>
        </is>
      </c>
      <c r="D21" s="23" t="inlineStr">
        <is>
          <t>Litre</t>
        </is>
      </c>
      <c r="E21" s="27" t="n">
        <v>5190</v>
      </c>
      <c r="F21" s="9" t="n">
        <v>371.24</v>
      </c>
      <c r="G21" s="9">
        <f>E21*F21</f>
        <v/>
      </c>
      <c r="H21" s="9" t="n">
        <v>220</v>
      </c>
      <c r="I21" s="9">
        <f>E21*H21</f>
        <v/>
      </c>
      <c r="J21" s="23" t="inlineStr">
        <is>
          <t>web_search</t>
        </is>
      </c>
      <c r="K21" s="23" t="inlineStr">
        <is>
          <t>Valvoline Premium Blue 7800 Plus 15W40 APICI-4 grade, bulk purchase discount applied for 3-year contract volume</t>
        </is>
      </c>
      <c r="L21" s="23" t="inlineStr">
        <is>
          <t>Valvoline</t>
        </is>
      </c>
      <c r="M21" s="28" t="inlineStr">
        <is>
          <t>https://indiamart.com</t>
        </is>
      </c>
    </row>
    <row r="22">
      <c r="A22" s="26" t="n">
        <v>4</v>
      </c>
      <c r="B22" s="23" t="inlineStr">
        <is>
          <t>3264349</t>
        </is>
      </c>
      <c r="C22" s="23" t="inlineStr">
        <is>
          <t>Pump, Water</t>
        </is>
      </c>
      <c r="D22" s="23" t="inlineStr"/>
      <c r="E22" s="27" t="n"/>
      <c r="F22" s="9" t="n">
        <v>38404.28</v>
      </c>
      <c r="G22" s="9">
        <f>E22*F22</f>
        <v/>
      </c>
      <c r="H22" s="9" t="n">
        <v>28000</v>
      </c>
      <c r="I22" s="9">
        <f>E22*H22</f>
        <v/>
      </c>
      <c r="J22" s="23" t="inlineStr">
        <is>
          <t>web_search</t>
        </is>
      </c>
      <c r="K22" s="23" t="inlineStr">
        <is>
          <t>Water pump for engine cooling system</t>
        </is>
      </c>
      <c r="L22" s="23" t="inlineStr"/>
      <c r="M22" s="23" t="n"/>
    </row>
    <row r="23">
      <c r="A23" s="26" t="n">
        <v>5</v>
      </c>
      <c r="B23" s="23" t="inlineStr">
        <is>
          <t>A067N050</t>
        </is>
      </c>
      <c r="C23" s="23" t="inlineStr">
        <is>
          <t>Replacement of PWM Amplifier</t>
        </is>
      </c>
      <c r="D23" s="23" t="inlineStr"/>
      <c r="E23" s="27" t="n"/>
      <c r="F23" s="9" t="n">
        <v>20000</v>
      </c>
      <c r="G23" s="9">
        <f>E23*F23</f>
        <v/>
      </c>
      <c r="H23" s="9" t="n">
        <v>15000</v>
      </c>
      <c r="I23" s="9">
        <f>E23*H23</f>
        <v/>
      </c>
      <c r="J23" s="23" t="inlineStr">
        <is>
          <t>derived_estimate</t>
        </is>
      </c>
      <c r="K23" s="23" t="inlineStr">
        <is>
          <t>PWM amplifier for engine control system</t>
        </is>
      </c>
      <c r="L23" s="23" t="inlineStr"/>
      <c r="M23" s="23" t="n"/>
    </row>
    <row r="24">
      <c r="A24" s="26" t="n">
        <v>5</v>
      </c>
      <c r="B24" s="23" t="inlineStr">
        <is>
          <t>A5</t>
        </is>
      </c>
      <c r="C24" s="23" t="inlineStr">
        <is>
          <t>D- Check Mandatory Material for engine model Cummins - 855 along with Lube oil. (As per Annexure-III)</t>
        </is>
      </c>
      <c r="D24" s="23" t="inlineStr">
        <is>
          <t>Set</t>
        </is>
      </c>
      <c r="E24" s="27" t="n">
        <v>16</v>
      </c>
      <c r="F24" s="9" t="n">
        <v>839231.4399999999</v>
      </c>
      <c r="G24" s="9">
        <f>E24*F24</f>
        <v/>
      </c>
      <c r="H24" s="9" t="n">
        <v>750000</v>
      </c>
      <c r="I24" s="9">
        <f>E24*H24</f>
        <v/>
      </c>
      <c r="J24" s="23" t="inlineStr">
        <is>
          <t>derived_estimate</t>
        </is>
      </c>
      <c r="K24" s="23" t="inlineStr">
        <is>
          <t>D-Check major overhaul: injector kit replacement &amp; calibration (₹1,32,966), fuel pump repair (₹67,870), turbocharger repair (₹23,554), cooling system overhaul (₹1,27,773), cylinder head repair (₹46,565), full gasket replacement, instrumentation replacement, 60L lube oil (₹8,700), labour (₹79,996)</t>
        </is>
      </c>
      <c r="L24" s="23" t="inlineStr"/>
      <c r="M24" s="23" t="n"/>
    </row>
    <row r="25">
      <c r="A25" s="26" t="n">
        <v>6</v>
      </c>
      <c r="B25" s="23" t="inlineStr">
        <is>
          <t>A6</t>
        </is>
      </c>
      <c r="C25" s="23" t="inlineStr">
        <is>
          <t>D-check labour and Service for engine model Cummins- 855 as per explanatory notes.</t>
        </is>
      </c>
      <c r="D25" s="23" t="inlineStr">
        <is>
          <t>Numbers</t>
        </is>
      </c>
      <c r="E25" s="27" t="n">
        <v>16</v>
      </c>
      <c r="F25" s="9" t="n">
        <v>107739.43</v>
      </c>
      <c r="G25" s="9">
        <f>E25*F25</f>
        <v/>
      </c>
      <c r="H25" s="9" t="n">
        <v>95000</v>
      </c>
      <c r="I25" s="9">
        <f>E25*H25</f>
        <v/>
      </c>
      <c r="J25" s="23" t="inlineStr">
        <is>
          <t>derived_estimate</t>
        </is>
      </c>
      <c r="K25" s="23" t="inlineStr">
        <is>
          <t>D-Check labour: 4 fitters × 5 days @ ₹900/hr loaded (24% statutory) + supervision + testing = ₹95,000 per engine</t>
        </is>
      </c>
      <c r="L25" s="23" t="inlineStr"/>
      <c r="M25" s="23" t="n"/>
    </row>
    <row r="26">
      <c r="A26" s="26" t="n">
        <v>6</v>
      </c>
      <c r="B26" s="23" t="inlineStr">
        <is>
          <t>—</t>
        </is>
      </c>
      <c r="C26" s="23" t="inlineStr">
        <is>
          <t>Service Charge – Radiator Cleaning &amp; Repair</t>
        </is>
      </c>
      <c r="D26" s="23" t="inlineStr"/>
      <c r="E26" s="27" t="n"/>
      <c r="F26" s="9" t="n">
        <v>102000</v>
      </c>
      <c r="G26" s="9">
        <f>E26*F26</f>
        <v/>
      </c>
      <c r="H26" s="9" t="n">
        <v>78000</v>
      </c>
      <c r="I26" s="9">
        <f>E26*H26</f>
        <v/>
      </c>
      <c r="J26" s="23" t="inlineStr">
        <is>
          <t>derived_estimate</t>
        </is>
      </c>
      <c r="K26" s="23" t="inlineStr">
        <is>
          <t>Radiator cleaning, chemical treatment, gasket replacement, testing</t>
        </is>
      </c>
      <c r="L26" s="23" t="inlineStr"/>
      <c r="M26" s="23" t="n"/>
    </row>
    <row r="27">
      <c r="A27" s="26" t="n">
        <v>7</v>
      </c>
      <c r="B27" s="23" t="inlineStr">
        <is>
          <t>4071832</t>
        </is>
      </c>
      <c r="C27" s="23" t="inlineStr">
        <is>
          <t>Gauge, Pressure</t>
        </is>
      </c>
      <c r="D27" s="23" t="inlineStr"/>
      <c r="E27" s="27" t="n"/>
      <c r="F27" s="9" t="n">
        <v>7717</v>
      </c>
      <c r="G27" s="9">
        <f>E27*F27</f>
        <v/>
      </c>
      <c r="H27" s="9" t="n">
        <v>5900</v>
      </c>
      <c r="I27" s="9">
        <f>E27*H27</f>
        <v/>
      </c>
      <c r="J27" s="23" t="inlineStr">
        <is>
          <t>web_search</t>
        </is>
      </c>
      <c r="K27" s="23" t="inlineStr">
        <is>
          <t>Pressure gauge for hydraulic/pneumatic system monitoring</t>
        </is>
      </c>
      <c r="L27" s="23" t="inlineStr"/>
      <c r="M27" s="23" t="n"/>
    </row>
    <row r="28">
      <c r="A28" s="26" t="n">
        <v>7</v>
      </c>
      <c r="B28" s="23" t="inlineStr">
        <is>
          <t>A7</t>
        </is>
      </c>
      <c r="C28" s="23" t="inlineStr">
        <is>
          <t>D- Check Optional materials for engine 855. (as per Annexure-IV) (Need Basis)</t>
        </is>
      </c>
      <c r="D28" s="23" t="inlineStr">
        <is>
          <t>Set</t>
        </is>
      </c>
      <c r="E28" s="27" t="n">
        <v>2</v>
      </c>
      <c r="F28" s="9" t="n">
        <v>422416.39</v>
      </c>
      <c r="G28" s="9">
        <f>E28*F28</f>
        <v/>
      </c>
      <c r="H28" s="9" t="n">
        <v>380000</v>
      </c>
      <c r="I28" s="9">
        <f>E28*H28</f>
        <v/>
      </c>
      <c r="J28" s="23" t="inlineStr">
        <is>
          <t>derived_estimate</t>
        </is>
      </c>
      <c r="K28" s="23" t="inlineStr">
        <is>
          <t>Optional D-Check materials (need-basis): advanced radiator repair, hydraulic system overhaul, propeller shaft repair, axle drive servicing, additional sensor/gauge replacements</t>
        </is>
      </c>
      <c r="L28" s="23" t="inlineStr"/>
      <c r="M28" s="23" t="n"/>
    </row>
    <row r="29">
      <c r="A29" s="26" t="n">
        <v>8</v>
      </c>
      <c r="B29" s="23" t="inlineStr">
        <is>
          <t>A8</t>
        </is>
      </c>
      <c r="C29" s="23" t="inlineStr">
        <is>
          <t>Flushing of Cooling System with the Radiwash &amp; recharging of Cooling system with premix coolant as per explanatory notes.</t>
        </is>
      </c>
      <c r="D29" s="23" t="inlineStr">
        <is>
          <t>Numbers</t>
        </is>
      </c>
      <c r="E29" s="27" t="n">
        <v>16</v>
      </c>
      <c r="F29" s="9" t="n">
        <v>102638.67</v>
      </c>
      <c r="G29" s="9">
        <f>E29*F29</f>
        <v/>
      </c>
      <c r="H29" s="9" t="n">
        <v>90000</v>
      </c>
      <c r="I29" s="9">
        <f>E29*H29</f>
        <v/>
      </c>
      <c r="J29" s="23" t="inlineStr">
        <is>
          <t>derived_estimate</t>
        </is>
      </c>
      <c r="K29" s="23" t="inlineStr">
        <is>
          <t>Cooling system flushing: 2 fitters × 1 day @ ₹900/hr loaded + Radiwash chemical (3L @ ₹4,899) + premix coolant (50L @ ₹145/L) + tank cleaning labour = ₹90,000 per engine</t>
        </is>
      </c>
      <c r="L29" s="23" t="inlineStr"/>
      <c r="M29" s="23" t="n"/>
    </row>
    <row r="30">
      <c r="A30" s="26" t="n">
        <v>8</v>
      </c>
      <c r="B30" s="23" t="inlineStr">
        <is>
          <t>4071829</t>
        </is>
      </c>
      <c r="C30" s="23" t="inlineStr">
        <is>
          <t>Gauge, Temperature</t>
        </is>
      </c>
      <c r="D30" s="23" t="inlineStr"/>
      <c r="E30" s="27" t="n"/>
      <c r="F30" s="9" t="n">
        <v>7905</v>
      </c>
      <c r="G30" s="9">
        <f>E30*F30</f>
        <v/>
      </c>
      <c r="H30" s="9" t="n">
        <v>6050</v>
      </c>
      <c r="I30" s="9">
        <f>E30*H30</f>
        <v/>
      </c>
      <c r="J30" s="23" t="inlineStr">
        <is>
          <t>web_search</t>
        </is>
      </c>
      <c r="K30" s="23" t="inlineStr">
        <is>
          <t>Temperature gauge for engine/coolant monitoring</t>
        </is>
      </c>
      <c r="L30" s="23" t="inlineStr"/>
      <c r="M30" s="23" t="n"/>
    </row>
    <row r="31">
      <c r="A31" s="26" t="n">
        <v>9</v>
      </c>
      <c r="B31" s="23" t="inlineStr">
        <is>
          <t>9</t>
        </is>
      </c>
      <c r="C31" s="23" t="inlineStr">
        <is>
          <t>Supply of set of belts for water pump and battery charging alternator 855 engine. (as per annexure-V) RAJKOT DIVISION-ELECTRICAL/WESTERN RLY  S.No. Item Code Item Qty Qty Unit Unit Rate Basic Value Escl.(%) Amount Bidding Unit</t>
        </is>
      </c>
      <c r="D31" s="23" t="inlineStr">
        <is>
          <t>Set</t>
        </is>
      </c>
      <c r="E31" s="27" t="n">
        <v>16</v>
      </c>
      <c r="F31" s="9" t="n">
        <v>11753.16</v>
      </c>
      <c r="G31" s="9">
        <f>E31*F31</f>
        <v/>
      </c>
      <c r="H31" s="9" t="n">
        <v>10500</v>
      </c>
      <c r="I31" s="9">
        <f>E31*H31</f>
        <v/>
      </c>
      <c r="J31" s="23" t="inlineStr">
        <is>
          <t>derived_estimate</t>
        </is>
      </c>
      <c r="K31" s="23" t="inlineStr">
        <is>
          <t>Belt set: V-ribbed belt (₹5,426) + V-belt (₹1,481) + hose clamps (₹87 × 2) + installation labour (₹3,500) = ₹10,500 per set</t>
        </is>
      </c>
      <c r="L31" s="23" t="inlineStr"/>
      <c r="M31" s="23" t="n"/>
    </row>
    <row r="32">
      <c r="A32" s="26" t="n">
        <v>9</v>
      </c>
      <c r="B32" s="23" t="inlineStr">
        <is>
          <t>3876154</t>
        </is>
      </c>
      <c r="C32" s="23" t="inlineStr">
        <is>
          <t>Gauge, Temperature</t>
        </is>
      </c>
      <c r="D32" s="23" t="inlineStr"/>
      <c r="E32" s="27" t="n"/>
      <c r="F32" s="9" t="n">
        <v>9674.01</v>
      </c>
      <c r="G32" s="9">
        <f>E32*F32</f>
        <v/>
      </c>
      <c r="H32" s="9" t="n">
        <v>7739.21</v>
      </c>
      <c r="I32" s="9">
        <f>E32*H32</f>
        <v/>
      </c>
      <c r="J32" s="23" t="inlineStr">
        <is>
          <t>derived_estimate</t>
        </is>
      </c>
      <c r="K32" s="23" t="inlineStr">
        <is>
          <t>Industrial temperature gauge for diesel engine monitoring</t>
        </is>
      </c>
      <c r="L32" s="23" t="inlineStr"/>
      <c r="M32" s="23" t="n"/>
    </row>
    <row r="33">
      <c r="A33" s="26" t="n">
        <v>10</v>
      </c>
      <c r="B33" s="23" t="inlineStr">
        <is>
          <t>KITBM68356</t>
        </is>
      </c>
      <c r="C33" s="23" t="inlineStr">
        <is>
          <t>Gasket Governor Set</t>
        </is>
      </c>
      <c r="D33" s="23" t="inlineStr"/>
      <c r="E33" s="27" t="n">
        <v>1</v>
      </c>
      <c r="F33" s="9" t="n"/>
      <c r="G33" s="9">
        <f>E33*F33</f>
        <v/>
      </c>
      <c r="H33" s="9" t="n">
        <v>1200</v>
      </c>
      <c r="I33" s="9">
        <f>E33*H33</f>
        <v/>
      </c>
      <c r="J33" s="23" t="inlineStr">
        <is>
          <t>derived_estimate</t>
        </is>
      </c>
      <c r="K33" s="23" t="inlineStr">
        <is>
          <t>Cummins governor gasket kit for fuel pump control</t>
        </is>
      </c>
      <c r="L33" s="23" t="inlineStr"/>
      <c r="M33" s="23" t="n"/>
    </row>
    <row r="34">
      <c r="A34" s="26" t="n">
        <v>10</v>
      </c>
      <c r="B34" s="23" t="inlineStr">
        <is>
          <t>3408607</t>
        </is>
      </c>
      <c r="C34" s="23" t="inlineStr">
        <is>
          <t>Switch, Pressure</t>
        </is>
      </c>
      <c r="D34" s="23" t="inlineStr"/>
      <c r="E34" s="27" t="n"/>
      <c r="F34" s="9" t="n">
        <v>5500</v>
      </c>
      <c r="G34" s="9">
        <f>E34*F34</f>
        <v/>
      </c>
      <c r="H34" s="9" t="n">
        <v>4400</v>
      </c>
      <c r="I34" s="9">
        <f>E34*H34</f>
        <v/>
      </c>
      <c r="J34" s="23" t="inlineStr">
        <is>
          <t>derived_estimate</t>
        </is>
      </c>
      <c r="K34" s="23" t="inlineStr">
        <is>
          <t>Pressure switch for engine monitoring system</t>
        </is>
      </c>
      <c r="L34" s="23" t="inlineStr"/>
      <c r="M34" s="23" t="n"/>
    </row>
    <row r="35">
      <c r="A35" s="26" t="n">
        <v>11</v>
      </c>
      <c r="B35" s="23" t="inlineStr">
        <is>
          <t>4071835</t>
        </is>
      </c>
      <c r="C35" s="23" t="inlineStr">
        <is>
          <t>Sensor, Pressure</t>
        </is>
      </c>
      <c r="D35" s="23" t="inlineStr"/>
      <c r="E35" s="27" t="n"/>
      <c r="F35" s="9" t="n">
        <v>8816</v>
      </c>
      <c r="G35" s="9">
        <f>E35*F35</f>
        <v/>
      </c>
      <c r="H35" s="9" t="n">
        <v>7052.8</v>
      </c>
      <c r="I35" s="9">
        <f>E35*H35</f>
        <v/>
      </c>
      <c r="J35" s="23" t="inlineStr">
        <is>
          <t>derived_estimate</t>
        </is>
      </c>
      <c r="K35" s="23" t="inlineStr">
        <is>
          <t>Pressure sensor for fuel/oil system monitoring</t>
        </is>
      </c>
      <c r="L35" s="23" t="inlineStr"/>
      <c r="M35" s="23" t="n"/>
    </row>
    <row r="36">
      <c r="A36" s="26" t="n">
        <v>11</v>
      </c>
      <c r="B36" s="23" t="inlineStr">
        <is>
          <t>S16052</t>
        </is>
      </c>
      <c r="C36" s="23" t="inlineStr">
        <is>
          <t>Bearing, Ball</t>
        </is>
      </c>
      <c r="D36" s="23" t="inlineStr"/>
      <c r="E36" s="27" t="n">
        <v>1</v>
      </c>
      <c r="F36" s="9" t="n"/>
      <c r="G36" s="9">
        <f>E36*F36</f>
        <v/>
      </c>
      <c r="H36" s="9" t="n">
        <v>1200</v>
      </c>
      <c r="I36" s="9">
        <f>E36*H36</f>
        <v/>
      </c>
      <c r="J36" s="23" t="inlineStr">
        <is>
          <t>derived_estimate</t>
        </is>
      </c>
      <c r="K36" s="23" t="inlineStr">
        <is>
          <t>Ball bearing for engine rotating assembly</t>
        </is>
      </c>
      <c r="L36" s="23" t="inlineStr"/>
      <c r="M36" s="23" t="n"/>
    </row>
    <row r="37">
      <c r="A37" s="26" t="n">
        <v>12</v>
      </c>
      <c r="B37" s="23" t="inlineStr">
        <is>
          <t>4071834</t>
        </is>
      </c>
      <c r="C37" s="23" t="inlineStr">
        <is>
          <t>Sensor, Temperature</t>
        </is>
      </c>
      <c r="D37" s="23" t="inlineStr"/>
      <c r="E37" s="27" t="n"/>
      <c r="F37" s="9" t="n">
        <v>7532</v>
      </c>
      <c r="G37" s="9">
        <f>E37*F37</f>
        <v/>
      </c>
      <c r="H37" s="9" t="n">
        <v>6025.6</v>
      </c>
      <c r="I37" s="9">
        <f>E37*H37</f>
        <v/>
      </c>
      <c r="J37" s="23" t="inlineStr">
        <is>
          <t>derived_estimate</t>
        </is>
      </c>
      <c r="K37" s="23" t="inlineStr">
        <is>
          <t>Temperature sensor for coolant/oil monitoring</t>
        </is>
      </c>
      <c r="L37" s="23" t="inlineStr"/>
      <c r="M37" s="23" t="n"/>
    </row>
    <row r="38">
      <c r="A38" s="26" t="n">
        <v>12</v>
      </c>
      <c r="B38" s="23" t="inlineStr">
        <is>
          <t>212668</t>
        </is>
      </c>
      <c r="C38" s="23" t="inlineStr">
        <is>
          <t>Key, Square</t>
        </is>
      </c>
      <c r="D38" s="23" t="inlineStr"/>
      <c r="E38" s="27" t="n">
        <v>1</v>
      </c>
      <c r="F38" s="9" t="n"/>
      <c r="G38" s="9">
        <f>E38*F38</f>
        <v/>
      </c>
      <c r="H38" s="9" t="n">
        <v>150</v>
      </c>
      <c r="I38" s="9">
        <f>E38*H38</f>
        <v/>
      </c>
      <c r="J38" s="23" t="inlineStr">
        <is>
          <t>derived_estimate</t>
        </is>
      </c>
      <c r="K38" s="23" t="inlineStr">
        <is>
          <t>Square key for shaft coupling</t>
        </is>
      </c>
      <c r="L38" s="23" t="inlineStr"/>
      <c r="M38" s="23" t="n"/>
    </row>
    <row r="39">
      <c r="A39" s="26" t="n">
        <v>13</v>
      </c>
      <c r="B39" s="23" t="inlineStr">
        <is>
          <t>4053654</t>
        </is>
      </c>
      <c r="C39" s="23" t="inlineStr">
        <is>
          <t>Switch, Relay</t>
        </is>
      </c>
      <c r="D39" s="23" t="inlineStr"/>
      <c r="E39" s="27" t="n"/>
      <c r="F39" s="9" t="n">
        <v>10987</v>
      </c>
      <c r="G39" s="9">
        <f>E39*F39</f>
        <v/>
      </c>
      <c r="H39" s="9" t="n">
        <v>8789.6</v>
      </c>
      <c r="I39" s="9">
        <f>E39*H39</f>
        <v/>
      </c>
      <c r="J39" s="23" t="inlineStr">
        <is>
          <t>derived_estimate</t>
        </is>
      </c>
      <c r="K39" s="23" t="inlineStr">
        <is>
          <t>Relay switch for engine control circuit</t>
        </is>
      </c>
      <c r="L39" s="23" t="inlineStr"/>
      <c r="M39" s="23" t="n"/>
    </row>
    <row r="40">
      <c r="A40" s="26" t="n">
        <v>13</v>
      </c>
      <c r="B40" s="23" t="inlineStr">
        <is>
          <t>212609</t>
        </is>
      </c>
      <c r="C40" s="23" t="inlineStr">
        <is>
          <t>Bushing, Tachometer Drive</t>
        </is>
      </c>
      <c r="D40" s="23" t="inlineStr"/>
      <c r="E40" s="27" t="n">
        <v>1</v>
      </c>
      <c r="F40" s="9" t="n"/>
      <c r="G40" s="9">
        <f>E40*F40</f>
        <v/>
      </c>
      <c r="H40" s="9" t="n">
        <v>200</v>
      </c>
      <c r="I40" s="9">
        <f>E40*H40</f>
        <v/>
      </c>
      <c r="J40" s="23" t="inlineStr">
        <is>
          <t>derived_estimate</t>
        </is>
      </c>
      <c r="K40" s="23" t="inlineStr">
        <is>
          <t>Bushing for tachometer drive shaft</t>
        </is>
      </c>
      <c r="L40" s="23" t="inlineStr"/>
      <c r="M40" s="23" t="n"/>
    </row>
    <row r="41">
      <c r="A41" s="26" t="n">
        <v>14</v>
      </c>
      <c r="B41" s="23" t="inlineStr">
        <is>
          <t>212601</t>
        </is>
      </c>
      <c r="C41" s="23" t="inlineStr">
        <is>
          <t>Shaft, Fuel Pump Drive</t>
        </is>
      </c>
      <c r="D41" s="23" t="inlineStr"/>
      <c r="E41" s="27" t="n">
        <v>1</v>
      </c>
      <c r="F41" s="9" t="n"/>
      <c r="G41" s="9">
        <f>E41*F41</f>
        <v/>
      </c>
      <c r="H41" s="9" t="n">
        <v>250</v>
      </c>
      <c r="I41" s="9">
        <f>E41*H41</f>
        <v/>
      </c>
      <c r="J41" s="23" t="inlineStr">
        <is>
          <t>derived_estimate</t>
        </is>
      </c>
      <c r="K41" s="23" t="inlineStr">
        <is>
          <t>Drive shaft for fuel pump</t>
        </is>
      </c>
      <c r="L41" s="23" t="inlineStr"/>
      <c r="M41" s="23" t="n"/>
    </row>
    <row r="42">
      <c r="A42" s="26" t="n">
        <v>14</v>
      </c>
      <c r="B42" s="23" t="inlineStr">
        <is>
          <t>4084369</t>
        </is>
      </c>
      <c r="C42" s="23" t="inlineStr">
        <is>
          <t>Switch, Fluid Level</t>
        </is>
      </c>
      <c r="D42" s="23" t="inlineStr"/>
      <c r="E42" s="27" t="n"/>
      <c r="F42" s="9" t="n">
        <v>22834.99</v>
      </c>
      <c r="G42" s="9">
        <f>E42*F42</f>
        <v/>
      </c>
      <c r="H42" s="9" t="n">
        <v>18267.99</v>
      </c>
      <c r="I42" s="9">
        <f>E42*H42</f>
        <v/>
      </c>
      <c r="J42" s="23" t="inlineStr">
        <is>
          <t>derived_estimate</t>
        </is>
      </c>
      <c r="K42" s="23" t="inlineStr">
        <is>
          <t>Fluid level switch for oil/coolant monitoring</t>
        </is>
      </c>
      <c r="L42" s="23" t="inlineStr"/>
      <c r="M42" s="23" t="n"/>
    </row>
    <row r="43">
      <c r="A43" s="26" t="n">
        <v>15</v>
      </c>
      <c r="B43" s="23" t="inlineStr">
        <is>
          <t>212604</t>
        </is>
      </c>
      <c r="C43" s="23" t="inlineStr">
        <is>
          <t>Ring, Retaining</t>
        </is>
      </c>
      <c r="D43" s="23" t="inlineStr"/>
      <c r="E43" s="27" t="n">
        <v>1</v>
      </c>
      <c r="F43" s="9" t="n"/>
      <c r="G43" s="9">
        <f>E43*F43</f>
        <v/>
      </c>
      <c r="H43" s="9" t="n">
        <v>180</v>
      </c>
      <c r="I43" s="9">
        <f>E43*H43</f>
        <v/>
      </c>
      <c r="J43" s="23" t="inlineStr">
        <is>
          <t>derived_estimate</t>
        </is>
      </c>
      <c r="K43" s="23" t="inlineStr">
        <is>
          <t>Retaining ring for shaft assembly</t>
        </is>
      </c>
      <c r="L43" s="23" t="inlineStr"/>
      <c r="M43" s="23" t="n"/>
    </row>
    <row r="44">
      <c r="A44" s="26" t="n">
        <v>15</v>
      </c>
      <c r="B44" s="23" t="inlineStr">
        <is>
          <t>3231404</t>
        </is>
      </c>
      <c r="C44" s="23" t="inlineStr">
        <is>
          <t>Pickup, Magnetic</t>
        </is>
      </c>
      <c r="D44" s="23" t="inlineStr"/>
      <c r="E44" s="27" t="n"/>
      <c r="F44" s="9" t="n">
        <v>7797.58</v>
      </c>
      <c r="G44" s="9">
        <f>E44*F44</f>
        <v/>
      </c>
      <c r="H44" s="9" t="n">
        <v>6238.06</v>
      </c>
      <c r="I44" s="9">
        <f>E44*H44</f>
        <v/>
      </c>
      <c r="J44" s="23" t="inlineStr">
        <is>
          <t>derived_estimate</t>
        </is>
      </c>
      <c r="K44" s="23" t="inlineStr">
        <is>
          <t>Magnetic pickup sensor for RPM/speed sensing</t>
        </is>
      </c>
      <c r="L44" s="23" t="inlineStr"/>
      <c r="M44" s="23" t="n"/>
    </row>
    <row r="45">
      <c r="A45" s="26" t="n">
        <v>16</v>
      </c>
      <c r="B45" s="23" t="inlineStr">
        <is>
          <t>212607</t>
        </is>
      </c>
      <c r="C45" s="23" t="inlineStr">
        <is>
          <t>Shaft, Tachometer Drive</t>
        </is>
      </c>
      <c r="D45" s="23" t="inlineStr"/>
      <c r="E45" s="27" t="n">
        <v>1</v>
      </c>
      <c r="F45" s="9" t="n"/>
      <c r="G45" s="9">
        <f>E45*F45</f>
        <v/>
      </c>
      <c r="H45" s="9" t="n">
        <v>300</v>
      </c>
      <c r="I45" s="9">
        <f>E45*H45</f>
        <v/>
      </c>
      <c r="J45" s="23" t="inlineStr">
        <is>
          <t>derived_estimate</t>
        </is>
      </c>
      <c r="K45" s="23" t="inlineStr">
        <is>
          <t>Drive shaft for tachometer</t>
        </is>
      </c>
      <c r="L45" s="23" t="inlineStr"/>
      <c r="M45" s="23" t="n"/>
    </row>
    <row r="46">
      <c r="A46" s="26" t="n">
        <v>16</v>
      </c>
      <c r="B46" s="23" t="inlineStr">
        <is>
          <t>3881176</t>
        </is>
      </c>
      <c r="C46" s="23" t="inlineStr">
        <is>
          <t>Pump, Water</t>
        </is>
      </c>
      <c r="D46" s="23" t="inlineStr"/>
      <c r="E46" s="27" t="n"/>
      <c r="F46" s="9" t="n">
        <v>114087.57</v>
      </c>
      <c r="G46" s="9">
        <f>E46*F46</f>
        <v/>
      </c>
      <c r="H46" s="9" t="n">
        <v>91270.06</v>
      </c>
      <c r="I46" s="9">
        <f>E46*H46</f>
        <v/>
      </c>
      <c r="J46" s="23" t="inlineStr">
        <is>
          <t>derived_estimate</t>
        </is>
      </c>
      <c r="K46" s="23" t="inlineStr">
        <is>
          <t>Cummins water pump for cooling system</t>
        </is>
      </c>
      <c r="L46" s="23" t="inlineStr"/>
      <c r="M46" s="23" t="n"/>
    </row>
    <row r="47">
      <c r="A47" s="26" t="n">
        <v>17</v>
      </c>
      <c r="B47" s="23" t="inlineStr">
        <is>
          <t>126333</t>
        </is>
      </c>
      <c r="C47" s="23" t="inlineStr">
        <is>
          <t>Seal, O-Ring</t>
        </is>
      </c>
      <c r="D47" s="23" t="inlineStr"/>
      <c r="E47" s="27" t="n">
        <v>1</v>
      </c>
      <c r="F47" s="9" t="n"/>
      <c r="G47" s="9">
        <f>E47*F47</f>
        <v/>
      </c>
      <c r="H47" s="9" t="n">
        <v>400</v>
      </c>
      <c r="I47" s="9">
        <f>E47*H47</f>
        <v/>
      </c>
      <c r="J47" s="23" t="inlineStr">
        <is>
          <t>derived_estimate</t>
        </is>
      </c>
      <c r="K47" s="23" t="inlineStr">
        <is>
          <t>O-ring seal for engine component</t>
        </is>
      </c>
      <c r="L47" s="23" t="inlineStr"/>
      <c r="M47" s="23" t="n"/>
    </row>
    <row r="48">
      <c r="A48" s="26" t="n">
        <v>17</v>
      </c>
      <c r="B48" s="23" t="inlineStr">
        <is>
          <t>213272</t>
        </is>
      </c>
      <c r="C48" s="23" t="inlineStr">
        <is>
          <t>Magnetic Pickup</t>
        </is>
      </c>
      <c r="D48" s="23" t="inlineStr"/>
      <c r="E48" s="27" t="n"/>
      <c r="F48" s="9" t="n">
        <v>23417.92</v>
      </c>
      <c r="G48" s="9">
        <f>E48*F48</f>
        <v/>
      </c>
      <c r="H48" s="9" t="n">
        <v>18734.34</v>
      </c>
      <c r="I48" s="9">
        <f>E48*H48</f>
        <v/>
      </c>
      <c r="J48" s="23" t="inlineStr">
        <is>
          <t>derived_estimate</t>
        </is>
      </c>
      <c r="K48" s="23" t="inlineStr">
        <is>
          <t>Magnetic pickup sensor for engine speed sensing</t>
        </is>
      </c>
      <c r="L48" s="23" t="inlineStr"/>
      <c r="M48" s="23" t="n"/>
    </row>
    <row r="49">
      <c r="A49" s="26" t="n">
        <v>18</v>
      </c>
      <c r="B49" s="23" t="inlineStr">
        <is>
          <t>4396219</t>
        </is>
      </c>
      <c r="C49" s="23" t="inlineStr">
        <is>
          <t>Pickup Magnetic</t>
        </is>
      </c>
      <c r="D49" s="23" t="inlineStr"/>
      <c r="E49" s="27" t="n"/>
      <c r="F49" s="9" t="n">
        <v>17663.37</v>
      </c>
      <c r="G49" s="9">
        <f>E49*F49</f>
        <v/>
      </c>
      <c r="H49" s="9" t="n">
        <v>14130.7</v>
      </c>
      <c r="I49" s="9">
        <f>E49*H49</f>
        <v/>
      </c>
      <c r="J49" s="23" t="inlineStr">
        <is>
          <t>derived_estimate</t>
        </is>
      </c>
      <c r="K49" s="23" t="inlineStr">
        <is>
          <t>Magnetic pickup sensor variant</t>
        </is>
      </c>
      <c r="L49" s="23" t="inlineStr"/>
      <c r="M49" s="23" t="n"/>
    </row>
    <row r="50">
      <c r="A50" s="26" t="n">
        <v>18</v>
      </c>
      <c r="B50" s="23" t="inlineStr">
        <is>
          <t>144683</t>
        </is>
      </c>
      <c r="C50" s="23" t="inlineStr">
        <is>
          <t>Screen, Filter</t>
        </is>
      </c>
      <c r="D50" s="23" t="inlineStr"/>
      <c r="E50" s="27" t="n">
        <v>1</v>
      </c>
      <c r="F50" s="9" t="n"/>
      <c r="G50" s="9">
        <f>E50*F50</f>
        <v/>
      </c>
      <c r="H50" s="9" t="n">
        <v>300</v>
      </c>
      <c r="I50" s="9">
        <f>E50*H50</f>
        <v/>
      </c>
      <c r="J50" s="23" t="inlineStr">
        <is>
          <t>derived_estimate</t>
        </is>
      </c>
      <c r="K50" s="23" t="inlineStr">
        <is>
          <t>Filter screen for fuel/oil system</t>
        </is>
      </c>
      <c r="L50" s="23" t="inlineStr"/>
      <c r="M50" s="23" t="n"/>
    </row>
    <row r="51">
      <c r="A51" s="26" t="n">
        <v>19</v>
      </c>
      <c r="B51" s="23" t="inlineStr">
        <is>
          <t>4912304</t>
        </is>
      </c>
      <c r="C51" s="23" t="inlineStr">
        <is>
          <t>Pickup Magnetic</t>
        </is>
      </c>
      <c r="D51" s="23" t="inlineStr"/>
      <c r="E51" s="27" t="n"/>
      <c r="F51" s="9" t="n">
        <v>22668.57</v>
      </c>
      <c r="G51" s="9">
        <f>E51*F51</f>
        <v/>
      </c>
      <c r="H51" s="9" t="n">
        <v>18134.86</v>
      </c>
      <c r="I51" s="9">
        <f>E51*H51</f>
        <v/>
      </c>
      <c r="J51" s="23" t="inlineStr">
        <is>
          <t>derived_estimate</t>
        </is>
      </c>
      <c r="K51" s="23" t="inlineStr">
        <is>
          <t>Magnetic pickup sensor for engine monitoring</t>
        </is>
      </c>
      <c r="L51" s="23" t="inlineStr"/>
      <c r="M51" s="23" t="n"/>
    </row>
    <row r="52">
      <c r="A52" s="26" t="n">
        <v>19</v>
      </c>
      <c r="B52" s="23" t="inlineStr">
        <is>
          <t>3042542</t>
        </is>
      </c>
      <c r="C52" s="23" t="inlineStr">
        <is>
          <t>Seal, O-Ring</t>
        </is>
      </c>
      <c r="D52" s="23" t="inlineStr"/>
      <c r="E52" s="27" t="n">
        <v>1</v>
      </c>
      <c r="F52" s="9" t="n"/>
      <c r="G52" s="9">
        <f>E52*F52</f>
        <v/>
      </c>
      <c r="H52" s="9" t="n">
        <v>400</v>
      </c>
      <c r="I52" s="9">
        <f>E52*H52</f>
        <v/>
      </c>
      <c r="J52" s="23" t="inlineStr">
        <is>
          <t>derived_estimate</t>
        </is>
      </c>
      <c r="K52" s="23" t="inlineStr">
        <is>
          <t>O-ring seal for engine component</t>
        </is>
      </c>
      <c r="L52" s="23" t="inlineStr"/>
      <c r="M52" s="23" t="n"/>
    </row>
    <row r="53">
      <c r="A53" s="26" t="n">
        <v>20</v>
      </c>
      <c r="B53" s="23" t="inlineStr">
        <is>
          <t>A062N867</t>
        </is>
      </c>
      <c r="C53" s="23" t="inlineStr">
        <is>
          <t>MR Pressure Switch – Pneumatic</t>
        </is>
      </c>
      <c r="D53" s="23" t="inlineStr"/>
      <c r="E53" s="27" t="n"/>
      <c r="F53" s="9" t="n">
        <v>77386.31</v>
      </c>
      <c r="G53" s="9">
        <f>E53*F53</f>
        <v/>
      </c>
      <c r="H53" s="9" t="n">
        <v>61909.05</v>
      </c>
      <c r="I53" s="9">
        <f>E53*H53</f>
        <v/>
      </c>
      <c r="J53" s="23" t="inlineStr">
        <is>
          <t>derived_estimate</t>
        </is>
      </c>
      <c r="K53" s="23" t="inlineStr">
        <is>
          <t>Pneumatic pressure switch for air brake system</t>
        </is>
      </c>
      <c r="L53" s="23" t="inlineStr"/>
      <c r="M53" s="23" t="n"/>
    </row>
    <row r="54">
      <c r="A54" s="26" t="n">
        <v>20</v>
      </c>
      <c r="B54" s="23" t="inlineStr">
        <is>
          <t>3066914</t>
        </is>
      </c>
      <c r="C54" s="23" t="inlineStr">
        <is>
          <t>Seal, O-Ring</t>
        </is>
      </c>
      <c r="D54" s="23" t="inlineStr"/>
      <c r="E54" s="27" t="n">
        <v>1</v>
      </c>
      <c r="F54" s="9" t="n"/>
      <c r="G54" s="9">
        <f>E54*F54</f>
        <v/>
      </c>
      <c r="H54" s="9" t="n">
        <v>400</v>
      </c>
      <c r="I54" s="9">
        <f>E54*H54</f>
        <v/>
      </c>
      <c r="J54" s="23" t="inlineStr">
        <is>
          <t>derived_estimate</t>
        </is>
      </c>
      <c r="K54" s="23" t="inlineStr">
        <is>
          <t>O-ring seal for engine component</t>
        </is>
      </c>
      <c r="L54" s="23" t="inlineStr"/>
      <c r="M54" s="23" t="n"/>
    </row>
    <row r="55">
      <c r="A55" s="26" t="n">
        <v>21</v>
      </c>
      <c r="B55" s="23" t="inlineStr">
        <is>
          <t>202897</t>
        </is>
      </c>
      <c r="C55" s="23" t="inlineStr">
        <is>
          <t>Diaphragm, Fuel Pump Damper</t>
        </is>
      </c>
      <c r="D55" s="23" t="inlineStr"/>
      <c r="E55" s="27" t="n">
        <v>1</v>
      </c>
      <c r="F55" s="9" t="n"/>
      <c r="G55" s="9">
        <f>E55*F55</f>
        <v/>
      </c>
      <c r="H55" s="9" t="n">
        <v>300</v>
      </c>
      <c r="I55" s="9">
        <f>E55*H55</f>
        <v/>
      </c>
      <c r="J55" s="23" t="inlineStr">
        <is>
          <t>derived_estimate</t>
        </is>
      </c>
      <c r="K55" s="23" t="inlineStr">
        <is>
          <t>Diaphragm for fuel pump damper</t>
        </is>
      </c>
      <c r="L55" s="23" t="inlineStr"/>
      <c r="M55" s="23" t="n"/>
    </row>
    <row r="56">
      <c r="A56" s="26" t="n">
        <v>21</v>
      </c>
      <c r="B56" s="23" t="inlineStr">
        <is>
          <t>2552</t>
        </is>
      </c>
      <c r="C56" s="23" t="inlineStr">
        <is>
          <t>Rectifier</t>
        </is>
      </c>
      <c r="D56" s="23" t="inlineStr"/>
      <c r="E56" s="27" t="n"/>
      <c r="F56" s="9" t="n">
        <v>5895.89</v>
      </c>
      <c r="G56" s="9">
        <f>E56*F56</f>
        <v/>
      </c>
      <c r="H56" s="9" t="n">
        <v>4716.71</v>
      </c>
      <c r="I56" s="9">
        <f>E56*H56</f>
        <v/>
      </c>
      <c r="J56" s="23" t="inlineStr">
        <is>
          <t>derived_estimate</t>
        </is>
      </c>
      <c r="K56" s="23" t="inlineStr">
        <is>
          <t>Electrical rectifier for alternator output</t>
        </is>
      </c>
      <c r="L56" s="23" t="inlineStr"/>
      <c r="M56" s="23" t="n"/>
    </row>
    <row r="57">
      <c r="A57" s="26" t="n">
        <v>22</v>
      </c>
      <c r="B57" s="23" t="inlineStr">
        <is>
          <t>4054843</t>
        </is>
      </c>
      <c r="C57" s="23" t="inlineStr">
        <is>
          <t>Elbow, Male Union</t>
        </is>
      </c>
      <c r="D57" s="23" t="inlineStr"/>
      <c r="E57" s="27" t="n">
        <v>1</v>
      </c>
      <c r="F57" s="9" t="n"/>
      <c r="G57" s="9">
        <f>E57*F57</f>
        <v/>
      </c>
      <c r="H57" s="9" t="n">
        <v>300</v>
      </c>
      <c r="I57" s="9">
        <f>E57*H57</f>
        <v/>
      </c>
      <c r="J57" s="23" t="inlineStr">
        <is>
          <t>derived_estimate</t>
        </is>
      </c>
      <c r="K57" s="23" t="inlineStr">
        <is>
          <t>Male union elbow for fuel/oil line</t>
        </is>
      </c>
      <c r="L57" s="23" t="inlineStr"/>
      <c r="M57" s="23" t="n"/>
    </row>
    <row r="58">
      <c r="A58" s="26" t="n">
        <v>22</v>
      </c>
      <c r="B58" s="23" t="inlineStr">
        <is>
          <t>4055107</t>
        </is>
      </c>
      <c r="C58" s="23" t="inlineStr">
        <is>
          <t>Pump Fuel Transfer</t>
        </is>
      </c>
      <c r="D58" s="23" t="inlineStr"/>
      <c r="E58" s="27" t="n"/>
      <c r="F58" s="9" t="n">
        <v>86673.88</v>
      </c>
      <c r="G58" s="9">
        <f>E58*F58</f>
        <v/>
      </c>
      <c r="H58" s="9" t="n">
        <v>69339.10000000001</v>
      </c>
      <c r="I58" s="9">
        <f>E58*H58</f>
        <v/>
      </c>
      <c r="J58" s="23" t="inlineStr">
        <is>
          <t>derived_estimate</t>
        </is>
      </c>
      <c r="K58" s="23" t="inlineStr">
        <is>
          <t>Fuel transfer pump for engine fuel system</t>
        </is>
      </c>
      <c r="L58" s="23" t="inlineStr"/>
      <c r="M58" s="23" t="n"/>
    </row>
    <row r="59">
      <c r="A59" s="26" t="n">
        <v>23</v>
      </c>
      <c r="B59" s="23" t="inlineStr">
        <is>
          <t>3046201</t>
        </is>
      </c>
      <c r="C59" s="23" t="inlineStr">
        <is>
          <t>Seal, O-Ring</t>
        </is>
      </c>
      <c r="D59" s="23" t="inlineStr"/>
      <c r="E59" s="27" t="n">
        <v>1</v>
      </c>
      <c r="F59" s="9" t="n"/>
      <c r="G59" s="9">
        <f>E59*F59</f>
        <v/>
      </c>
      <c r="H59" s="9" t="n">
        <v>400</v>
      </c>
      <c r="I59" s="9">
        <f>E59*H59</f>
        <v/>
      </c>
      <c r="J59" s="23" t="inlineStr">
        <is>
          <t>derived_estimate</t>
        </is>
      </c>
      <c r="K59" s="23" t="inlineStr">
        <is>
          <t>O-ring seal for engine component</t>
        </is>
      </c>
      <c r="L59" s="23" t="inlineStr"/>
      <c r="M59" s="23" t="n"/>
    </row>
    <row r="60">
      <c r="A60" s="26" t="n">
        <v>23</v>
      </c>
      <c r="B60" s="23" t="inlineStr">
        <is>
          <t>3803125</t>
        </is>
      </c>
      <c r="C60" s="23" t="inlineStr">
        <is>
          <t>Turbocharger</t>
        </is>
      </c>
      <c r="D60" s="23" t="inlineStr"/>
      <c r="E60" s="27" t="n"/>
      <c r="F60" s="9" t="n">
        <v>475692</v>
      </c>
      <c r="G60" s="9">
        <f>E60*F60</f>
        <v/>
      </c>
      <c r="H60" s="9" t="n">
        <v>380553.6</v>
      </c>
      <c r="I60" s="9">
        <f>E60*H60</f>
        <v/>
      </c>
      <c r="J60" s="23" t="inlineStr">
        <is>
          <t>derived_estimate</t>
        </is>
      </c>
      <c r="K60" s="23" t="inlineStr">
        <is>
          <t>Cummins turbocharger for engine boost</t>
        </is>
      </c>
      <c r="L60" s="23" t="inlineStr"/>
      <c r="M60" s="23" t="n"/>
    </row>
    <row r="61">
      <c r="A61" s="26" t="n">
        <v>24</v>
      </c>
      <c r="B61" s="23" t="inlineStr">
        <is>
          <t>3034243</t>
        </is>
      </c>
      <c r="C61" s="23" t="inlineStr">
        <is>
          <t>Pump, Gear Fuel</t>
        </is>
      </c>
      <c r="D61" s="23" t="inlineStr"/>
      <c r="E61" s="27" t="n">
        <v>1</v>
      </c>
      <c r="F61" s="9" t="n"/>
      <c r="G61" s="9">
        <f>E61*F61</f>
        <v/>
      </c>
      <c r="H61" s="9" t="n">
        <v>1200</v>
      </c>
      <c r="I61" s="9">
        <f>E61*H61</f>
        <v/>
      </c>
      <c r="J61" s="23" t="inlineStr">
        <is>
          <t>derived_estimate</t>
        </is>
      </c>
      <c r="K61" s="23" t="inlineStr">
        <is>
          <t>Gear fuel pump for engine fuel delivery</t>
        </is>
      </c>
      <c r="L61" s="23" t="inlineStr"/>
      <c r="M61" s="23" t="n"/>
    </row>
    <row r="62">
      <c r="A62" s="26" t="n">
        <v>24</v>
      </c>
      <c r="B62" s="23" t="inlineStr">
        <is>
          <t>206576</t>
        </is>
      </c>
      <c r="C62" s="23" t="inlineStr">
        <is>
          <t>Gasket Turbocharger</t>
        </is>
      </c>
      <c r="D62" s="23" t="inlineStr"/>
      <c r="E62" s="27" t="n"/>
      <c r="F62" s="9" t="n">
        <v>749.5736000000001</v>
      </c>
      <c r="G62" s="9">
        <f>E62*F62</f>
        <v/>
      </c>
      <c r="H62" s="9" t="n">
        <v>599.66</v>
      </c>
      <c r="I62" s="9">
        <f>E62*H62</f>
        <v/>
      </c>
      <c r="J62" s="23" t="inlineStr">
        <is>
          <t>derived_estimate</t>
        </is>
      </c>
      <c r="K62" s="23" t="inlineStr">
        <is>
          <t>Gasket for turbocharger mounting</t>
        </is>
      </c>
      <c r="L62" s="23" t="inlineStr"/>
      <c r="M62" s="23" t="n"/>
    </row>
    <row r="63">
      <c r="A63" s="26" t="n">
        <v>25</v>
      </c>
      <c r="B63" s="23" t="inlineStr">
        <is>
          <t>3240573</t>
        </is>
      </c>
      <c r="C63" s="23" t="inlineStr">
        <is>
          <t>Valve, Solenoid</t>
        </is>
      </c>
      <c r="D63" s="23" t="inlineStr"/>
      <c r="E63" s="27" t="n">
        <v>1</v>
      </c>
      <c r="F63" s="9" t="n"/>
      <c r="G63" s="9">
        <f>E63*F63</f>
        <v/>
      </c>
      <c r="H63" s="9" t="n">
        <v>1500</v>
      </c>
      <c r="I63" s="9">
        <f>E63*H63</f>
        <v/>
      </c>
      <c r="J63" s="23" t="inlineStr">
        <is>
          <t>web_search</t>
        </is>
      </c>
      <c r="K63" s="23" t="inlineStr"/>
      <c r="L63" s="23" t="inlineStr"/>
      <c r="M63" s="23" t="n"/>
    </row>
    <row r="64">
      <c r="A64" s="26" t="n">
        <v>25</v>
      </c>
      <c r="B64" s="23" t="inlineStr">
        <is>
          <t>3056158</t>
        </is>
      </c>
      <c r="C64" s="23" t="inlineStr">
        <is>
          <t>Nut Hexagon Flange</t>
        </is>
      </c>
      <c r="D64" s="23" t="inlineStr"/>
      <c r="E64" s="27" t="n"/>
      <c r="F64" s="9" t="n">
        <v>1451.073</v>
      </c>
      <c r="G64" s="9">
        <f>E64*F64</f>
        <v/>
      </c>
      <c r="H64" s="9" t="n">
        <v>1160.86</v>
      </c>
      <c r="I64" s="9">
        <f>E64*H64</f>
        <v/>
      </c>
      <c r="J64" s="23" t="inlineStr">
        <is>
          <t>derived_estimate</t>
        </is>
      </c>
      <c r="K64" s="23" t="inlineStr">
        <is>
          <t>Derived from published reference Rs 1,451.07 by stripping 10% overhead + 15% margin (÷1.250).</t>
        </is>
      </c>
      <c r="L64" s="23" t="inlineStr"/>
      <c r="M64" s="23" t="n"/>
    </row>
    <row r="65">
      <c r="A65" s="26" t="n">
        <v>26</v>
      </c>
      <c r="B65" s="23" t="inlineStr">
        <is>
          <t>3803615</t>
        </is>
      </c>
      <c r="C65" s="23" t="inlineStr">
        <is>
          <t>Kit, Seal</t>
        </is>
      </c>
      <c r="D65" s="23" t="inlineStr"/>
      <c r="E65" s="27" t="n">
        <v>1</v>
      </c>
      <c r="F65" s="9" t="n"/>
      <c r="G65" s="9">
        <f>E65*F65</f>
        <v/>
      </c>
      <c r="H65" s="9" t="n">
        <v>2500</v>
      </c>
      <c r="I65" s="9">
        <f>E65*H65</f>
        <v/>
      </c>
      <c r="J65" s="23" t="inlineStr">
        <is>
          <t>derived_estimate</t>
        </is>
      </c>
      <c r="K65" s="23" t="inlineStr"/>
      <c r="L65" s="23" t="inlineStr"/>
      <c r="M65" s="23" t="n"/>
    </row>
    <row r="66">
      <c r="A66" s="26" t="n">
        <v>26</v>
      </c>
      <c r="B66" s="23" t="inlineStr">
        <is>
          <t>3874152</t>
        </is>
      </c>
      <c r="C66" s="23" t="inlineStr">
        <is>
          <t>Valve Check</t>
        </is>
      </c>
      <c r="D66" s="23" t="inlineStr"/>
      <c r="E66" s="27" t="n"/>
      <c r="F66" s="9" t="n">
        <v>2109.171</v>
      </c>
      <c r="G66" s="9">
        <f>E66*F66</f>
        <v/>
      </c>
      <c r="H66" s="9" t="n">
        <v>1687.34</v>
      </c>
      <c r="I66" s="9">
        <f>E66*H66</f>
        <v/>
      </c>
      <c r="J66" s="23" t="inlineStr">
        <is>
          <t>derived_estimate</t>
        </is>
      </c>
      <c r="K66" s="23" t="inlineStr">
        <is>
          <t>Derived from published reference Rs 2,109.17 by stripping 10% overhead + 15% margin (÷1.250).</t>
        </is>
      </c>
      <c r="L66" s="23" t="inlineStr"/>
      <c r="M66" s="23" t="n"/>
    </row>
    <row r="67">
      <c r="A67" s="26" t="n">
        <v>27</v>
      </c>
      <c r="B67" s="23" t="inlineStr">
        <is>
          <t>5277629</t>
        </is>
      </c>
      <c r="C67" s="23" t="inlineStr">
        <is>
          <t>Kit, Unloader Valve</t>
        </is>
      </c>
      <c r="D67" s="23" t="inlineStr"/>
      <c r="E67" s="27" t="n">
        <v>1</v>
      </c>
      <c r="F67" s="9" t="n"/>
      <c r="G67" s="9">
        <f>E67*F67</f>
        <v/>
      </c>
      <c r="H67" s="9" t="n">
        <v>3500</v>
      </c>
      <c r="I67" s="9">
        <f>E67*H67</f>
        <v/>
      </c>
      <c r="J67" s="23" t="inlineStr">
        <is>
          <t>derived_estimate</t>
        </is>
      </c>
      <c r="K67" s="23" t="inlineStr"/>
      <c r="L67" s="23" t="inlineStr"/>
      <c r="M67" s="23" t="n"/>
    </row>
    <row r="68">
      <c r="A68" s="26" t="n">
        <v>27</v>
      </c>
      <c r="B68" s="23" t="inlineStr">
        <is>
          <t>3874153</t>
        </is>
      </c>
      <c r="C68" s="23" t="inlineStr">
        <is>
          <t>Valve Check</t>
        </is>
      </c>
      <c r="D68" s="23" t="inlineStr"/>
      <c r="E68" s="27" t="n"/>
      <c r="F68" s="9" t="n">
        <v>2022.046</v>
      </c>
      <c r="G68" s="9">
        <f>E68*F68</f>
        <v/>
      </c>
      <c r="H68" s="9" t="n">
        <v>1617.64</v>
      </c>
      <c r="I68" s="9">
        <f>E68*H68</f>
        <v/>
      </c>
      <c r="J68" s="23" t="inlineStr">
        <is>
          <t>derived_estimate</t>
        </is>
      </c>
      <c r="K68" s="23" t="inlineStr">
        <is>
          <t>Derived from published reference Rs 2,022.05 by stripping 10% overhead + 15% margin (÷1.250).</t>
        </is>
      </c>
      <c r="L68" s="23" t="inlineStr"/>
      <c r="M68" s="23" t="n"/>
    </row>
    <row r="69">
      <c r="A69" s="26" t="n">
        <v>28</v>
      </c>
      <c r="B69" s="23" t="inlineStr">
        <is>
          <t>4105942</t>
        </is>
      </c>
      <c r="C69" s="23" t="inlineStr">
        <is>
          <t>Tube Fuel Supply</t>
        </is>
      </c>
      <c r="D69" s="23" t="inlineStr"/>
      <c r="E69" s="27" t="n"/>
      <c r="F69" s="9" t="n">
        <v>1556.11</v>
      </c>
      <c r="G69" s="9">
        <f>E69*F69</f>
        <v/>
      </c>
      <c r="H69" s="9" t="n">
        <v>1244.89</v>
      </c>
      <c r="I69" s="9">
        <f>E69*H69</f>
        <v/>
      </c>
      <c r="J69" s="23" t="inlineStr">
        <is>
          <t>derived_estimate</t>
        </is>
      </c>
      <c r="K69" s="23" t="inlineStr">
        <is>
          <t>Derived from published reference Rs 1,556.11 by stripping 10% overhead + 15% margin (÷1.250).</t>
        </is>
      </c>
      <c r="L69" s="23" t="inlineStr"/>
      <c r="M69" s="23" t="n"/>
    </row>
    <row r="70">
      <c r="A70" s="26" t="n">
        <v>28</v>
      </c>
      <c r="B70" s="23" t="inlineStr">
        <is>
          <t>3245718</t>
        </is>
      </c>
      <c r="C70" s="23" t="inlineStr">
        <is>
          <t>Ring Set, Piston (Service)</t>
        </is>
      </c>
      <c r="D70" s="23" t="inlineStr"/>
      <c r="E70" s="27" t="n">
        <v>1</v>
      </c>
      <c r="F70" s="9" t="n"/>
      <c r="G70" s="9">
        <f>E70*F70</f>
        <v/>
      </c>
      <c r="H70" s="9" t="n">
        <v>4200</v>
      </c>
      <c r="I70" s="9">
        <f>E70*H70</f>
        <v/>
      </c>
      <c r="J70" s="23" t="inlineStr">
        <is>
          <t>derived_estimate</t>
        </is>
      </c>
      <c r="K70" s="23" t="inlineStr"/>
      <c r="L70" s="23" t="inlineStr"/>
      <c r="M70" s="23" t="n"/>
    </row>
    <row r="71">
      <c r="A71" s="26" t="n">
        <v>29</v>
      </c>
      <c r="B71" s="23" t="inlineStr">
        <is>
          <t>165430</t>
        </is>
      </c>
      <c r="C71" s="23" t="inlineStr">
        <is>
          <t>Piston Air Compressor</t>
        </is>
      </c>
      <c r="D71" s="23" t="inlineStr"/>
      <c r="E71" s="27" t="n">
        <v>1</v>
      </c>
      <c r="F71" s="9" t="n"/>
      <c r="G71" s="9">
        <f>E71*F71</f>
        <v/>
      </c>
      <c r="H71" s="9" t="n">
        <v>5800</v>
      </c>
      <c r="I71" s="9">
        <f>E71*H71</f>
        <v/>
      </c>
      <c r="J71" s="23" t="inlineStr">
        <is>
          <t>derived_estimate</t>
        </is>
      </c>
      <c r="K71" s="23" t="inlineStr"/>
      <c r="L71" s="23" t="inlineStr"/>
      <c r="M71" s="23" t="n"/>
    </row>
    <row r="72">
      <c r="A72" s="26" t="n">
        <v>29</v>
      </c>
      <c r="B72" s="23" t="inlineStr">
        <is>
          <t>4105936</t>
        </is>
      </c>
      <c r="C72" s="23" t="inlineStr">
        <is>
          <t>Tube Fuel Drain</t>
        </is>
      </c>
      <c r="D72" s="23" t="inlineStr"/>
      <c r="E72" s="27" t="n"/>
      <c r="F72" s="9" t="n">
        <v>1289.61</v>
      </c>
      <c r="G72" s="9">
        <f>E72*F72</f>
        <v/>
      </c>
      <c r="H72" s="9" t="n">
        <v>1031.69</v>
      </c>
      <c r="I72" s="9">
        <f>E72*H72</f>
        <v/>
      </c>
      <c r="J72" s="23" t="inlineStr">
        <is>
          <t>derived_estimate</t>
        </is>
      </c>
      <c r="K72" s="23" t="inlineStr">
        <is>
          <t>Derived from published reference Rs 1,289.61 by stripping 10% overhead + 15% margin (÷1.250).</t>
        </is>
      </c>
      <c r="L72" s="23" t="inlineStr"/>
      <c r="M72" s="23" t="n"/>
    </row>
    <row r="73">
      <c r="A73" s="26" t="n">
        <v>30</v>
      </c>
      <c r="B73" s="23" t="inlineStr">
        <is>
          <t>4105940</t>
        </is>
      </c>
      <c r="C73" s="23" t="inlineStr">
        <is>
          <t>Tube Fuel Supply</t>
        </is>
      </c>
      <c r="D73" s="23" t="inlineStr"/>
      <c r="E73" s="27" t="n"/>
      <c r="F73" s="9" t="n">
        <v>1475.29</v>
      </c>
      <c r="G73" s="9">
        <f>E73*F73</f>
        <v/>
      </c>
      <c r="H73" s="9" t="n">
        <v>1180.23</v>
      </c>
      <c r="I73" s="9">
        <f>E73*H73</f>
        <v/>
      </c>
      <c r="J73" s="23" t="inlineStr">
        <is>
          <t>derived_estimate</t>
        </is>
      </c>
      <c r="K73" s="23" t="inlineStr">
        <is>
          <t>Derived from published reference Rs 1,475.29 by stripping 10% overhead + 15% margin (÷1.250).</t>
        </is>
      </c>
      <c r="L73" s="23" t="inlineStr"/>
      <c r="M73" s="23" t="n"/>
    </row>
    <row r="74">
      <c r="A74" s="26" t="n">
        <v>30</v>
      </c>
      <c r="B74" s="23" t="inlineStr">
        <is>
          <t>188040</t>
        </is>
      </c>
      <c r="C74" s="23" t="inlineStr">
        <is>
          <t>Bearing, Thrust</t>
        </is>
      </c>
      <c r="D74" s="23" t="inlineStr"/>
      <c r="E74" s="27" t="n">
        <v>1</v>
      </c>
      <c r="F74" s="9" t="n"/>
      <c r="G74" s="9">
        <f>E74*F74</f>
        <v/>
      </c>
      <c r="H74" s="9" t="n">
        <v>6500</v>
      </c>
      <c r="I74" s="9">
        <f>E74*H74</f>
        <v/>
      </c>
      <c r="J74" s="23" t="inlineStr">
        <is>
          <t>derived_estimate</t>
        </is>
      </c>
      <c r="K74" s="23" t="inlineStr"/>
      <c r="L74" s="23" t="inlineStr"/>
      <c r="M74" s="23" t="n"/>
    </row>
    <row r="75">
      <c r="A75" s="26" t="n">
        <v>31</v>
      </c>
      <c r="B75" s="23" t="inlineStr">
        <is>
          <t>3545661</t>
        </is>
      </c>
      <c r="C75" s="23" t="inlineStr">
        <is>
          <t>Kit, Turbo Repair 4LG</t>
        </is>
      </c>
      <c r="D75" s="23" t="inlineStr"/>
      <c r="E75" s="27" t="n">
        <v>1</v>
      </c>
      <c r="F75" s="9" t="n"/>
      <c r="G75" s="9">
        <f>E75*F75</f>
        <v/>
      </c>
      <c r="H75" s="9" t="n">
        <v>23500</v>
      </c>
      <c r="I75" s="9">
        <f>E75*H75</f>
        <v/>
      </c>
      <c r="J75" s="23" t="inlineStr">
        <is>
          <t>web_search</t>
        </is>
      </c>
      <c r="K75" s="23" t="inlineStr">
        <is>
          <t>Cummins turbocharger repair kit for 4LG model — includes bearing, seals, gaskets</t>
        </is>
      </c>
      <c r="L75" s="23" t="inlineStr"/>
      <c r="M75" s="23" t="n"/>
    </row>
    <row r="76">
      <c r="A76" s="26" t="n">
        <v>31</v>
      </c>
      <c r="B76" s="23" t="inlineStr">
        <is>
          <t>3392006</t>
        </is>
      </c>
      <c r="C76" s="23" t="inlineStr">
        <is>
          <t>Hydraulic Pump</t>
        </is>
      </c>
      <c r="D76" s="23" t="inlineStr"/>
      <c r="E76" s="27" t="n"/>
      <c r="F76" s="9" t="n">
        <v>266582.56</v>
      </c>
      <c r="G76" s="9">
        <f>E76*F76</f>
        <v/>
      </c>
      <c r="H76" s="9" t="n">
        <v>225000</v>
      </c>
      <c r="I76" s="9">
        <f>E76*H76</f>
        <v/>
      </c>
      <c r="J76" s="23" t="inlineStr">
        <is>
          <t>derived_estimate</t>
        </is>
      </c>
      <c r="K76" s="23" t="inlineStr">
        <is>
          <t>Hydraulic pump repair kit — OEM-spec component for tower wagon transmission system</t>
        </is>
      </c>
      <c r="L76" s="23" t="inlineStr"/>
      <c r="M76" s="23" t="n"/>
    </row>
    <row r="77">
      <c r="A77" s="26" t="n">
        <v>32</v>
      </c>
      <c r="B77" s="23" t="inlineStr">
        <is>
          <t>3239764</t>
        </is>
      </c>
      <c r="C77" s="23" t="inlineStr">
        <is>
          <t>Repair Kit for Water Pump</t>
        </is>
      </c>
      <c r="D77" s="23" t="inlineStr"/>
      <c r="E77" s="27" t="n">
        <v>1</v>
      </c>
      <c r="F77" s="9" t="n"/>
      <c r="G77" s="9">
        <f>E77*F77</f>
        <v/>
      </c>
      <c r="H77" s="9" t="n">
        <v>1000</v>
      </c>
      <c r="I77" s="9">
        <f>E77*H77</f>
        <v/>
      </c>
      <c r="J77" s="23" t="inlineStr">
        <is>
          <t>web_search</t>
        </is>
      </c>
      <c r="K77" s="23" t="inlineStr">
        <is>
          <t>Water pump repair kit — gaskets, seals, bearings</t>
        </is>
      </c>
      <c r="L77" s="23" t="inlineStr"/>
      <c r="M77" s="23" t="n"/>
    </row>
    <row r="78">
      <c r="A78" s="26" t="n">
        <v>32</v>
      </c>
      <c r="B78" s="23" t="inlineStr">
        <is>
          <t>3230038</t>
        </is>
      </c>
      <c r="C78" s="23" t="inlineStr">
        <is>
          <t>Hydraulic Fan Drive Motor</t>
        </is>
      </c>
      <c r="D78" s="23" t="inlineStr"/>
      <c r="E78" s="27" t="n"/>
      <c r="F78" s="9" t="n">
        <v>291538.5</v>
      </c>
      <c r="G78" s="9">
        <f>E78*F78</f>
        <v/>
      </c>
      <c r="H78" s="9" t="n">
        <v>247000</v>
      </c>
      <c r="I78" s="9">
        <f>E78*H78</f>
        <v/>
      </c>
      <c r="J78" s="23" t="inlineStr">
        <is>
          <t>derived_estimate</t>
        </is>
      </c>
      <c r="K78" s="23" t="inlineStr">
        <is>
          <t>Hydraulic motor for fan drive system — tower wagon cooling</t>
        </is>
      </c>
      <c r="L78" s="23" t="inlineStr"/>
      <c r="M78" s="23" t="n"/>
    </row>
    <row r="79">
      <c r="A79" s="26" t="n">
        <v>33</v>
      </c>
      <c r="B79" s="23" t="inlineStr">
        <is>
          <t>3392916</t>
        </is>
      </c>
      <c r="C79" s="23" t="inlineStr">
        <is>
          <t>Pump Hydraulic</t>
        </is>
      </c>
      <c r="D79" s="23" t="inlineStr"/>
      <c r="E79" s="27" t="n"/>
      <c r="F79" s="9" t="n">
        <v>903702.2</v>
      </c>
      <c r="G79" s="9">
        <f>E79*F79</f>
        <v/>
      </c>
      <c r="H79" s="9" t="n">
        <v>768000</v>
      </c>
      <c r="I79" s="9">
        <f>E79*H79</f>
        <v/>
      </c>
      <c r="J79" s="23" t="inlineStr">
        <is>
          <t>derived_estimate</t>
        </is>
      </c>
      <c r="K79" s="23" t="inlineStr">
        <is>
          <t>Hydraulic pump assembly — transmission/drive system</t>
        </is>
      </c>
      <c r="L79" s="23" t="inlineStr"/>
      <c r="M79" s="23" t="n"/>
    </row>
    <row r="80">
      <c r="A80" s="26" t="n">
        <v>33</v>
      </c>
      <c r="B80" s="23" t="inlineStr">
        <is>
          <t>3237742</t>
        </is>
      </c>
      <c r="C80" s="23" t="inlineStr">
        <is>
          <t>Element, Air Cleaner</t>
        </is>
      </c>
      <c r="D80" s="23" t="inlineStr"/>
      <c r="E80" s="27" t="n">
        <v>1</v>
      </c>
      <c r="F80" s="9" t="n"/>
      <c r="G80" s="9">
        <f>E80*F80</f>
        <v/>
      </c>
      <c r="H80" s="9" t="n">
        <v>8500</v>
      </c>
      <c r="I80" s="9">
        <f>E80*H80</f>
        <v/>
      </c>
      <c r="J80" s="23" t="inlineStr">
        <is>
          <t>derived_estimate</t>
        </is>
      </c>
      <c r="K80" s="23" t="inlineStr">
        <is>
          <t>Air cleaner element — engine intake filtration</t>
        </is>
      </c>
      <c r="L80" s="23" t="inlineStr"/>
      <c r="M80" s="23" t="n"/>
    </row>
    <row r="81">
      <c r="A81" s="26" t="n">
        <v>34</v>
      </c>
      <c r="B81" s="23" t="inlineStr">
        <is>
          <t>3872336</t>
        </is>
      </c>
      <c r="C81" s="23" t="inlineStr">
        <is>
          <t>Element, Air Cleaner</t>
        </is>
      </c>
      <c r="D81" s="23" t="inlineStr"/>
      <c r="E81" s="27" t="n">
        <v>1</v>
      </c>
      <c r="F81" s="9" t="n"/>
      <c r="G81" s="9">
        <f>E81*F81</f>
        <v/>
      </c>
      <c r="H81" s="9" t="n">
        <v>8500</v>
      </c>
      <c r="I81" s="9">
        <f>E81*H81</f>
        <v/>
      </c>
      <c r="J81" s="23" t="inlineStr">
        <is>
          <t>derived_estimate</t>
        </is>
      </c>
      <c r="K81" s="23" t="inlineStr">
        <is>
          <t>Air cleaner element — engine intake filtration</t>
        </is>
      </c>
      <c r="L81" s="23" t="inlineStr"/>
      <c r="M81" s="23" t="n"/>
    </row>
    <row r="82">
      <c r="A82" s="26" t="n">
        <v>34</v>
      </c>
      <c r="B82" s="23" t="inlineStr">
        <is>
          <t>32.26</t>
        </is>
      </c>
      <c r="C82" s="23" t="inlineStr">
        <is>
          <t>Festo Cylinder 32.26</t>
        </is>
      </c>
      <c r="D82" s="23" t="inlineStr"/>
      <c r="E82" s="27" t="n"/>
      <c r="F82" s="9" t="n">
        <v>28876.65</v>
      </c>
      <c r="G82" s="9">
        <f>E82*F82</f>
        <v/>
      </c>
      <c r="H82" s="9" t="n">
        <v>24500</v>
      </c>
      <c r="I82" s="9">
        <f>E82*H82</f>
        <v/>
      </c>
      <c r="J82" s="23" t="inlineStr">
        <is>
          <t>web_search</t>
        </is>
      </c>
      <c r="K82" s="23" t="inlineStr">
        <is>
          <t>Festo pneumatic cylinder — control system actuation</t>
        </is>
      </c>
      <c r="L82" s="23" t="inlineStr"/>
      <c r="M82" s="23" t="n"/>
    </row>
    <row r="83">
      <c r="A83" s="26" t="n">
        <v>35</v>
      </c>
      <c r="B83" s="23" t="inlineStr">
        <is>
          <t>32.13</t>
        </is>
      </c>
      <c r="C83" s="23" t="inlineStr">
        <is>
          <t>Festo Cylinder 32.13</t>
        </is>
      </c>
      <c r="D83" s="23" t="inlineStr"/>
      <c r="E83" s="27" t="n"/>
      <c r="F83" s="9" t="n">
        <v>26924.32</v>
      </c>
      <c r="G83" s="9">
        <f>E83*F83</f>
        <v/>
      </c>
      <c r="H83" s="9" t="n">
        <v>22900</v>
      </c>
      <c r="I83" s="9">
        <f>E83*H83</f>
        <v/>
      </c>
      <c r="J83" s="23" t="inlineStr">
        <is>
          <t>web_search</t>
        </is>
      </c>
      <c r="K83" s="23" t="inlineStr">
        <is>
          <t>Festo pneumatic cylinder — control system actuation</t>
        </is>
      </c>
      <c r="L83" s="23" t="inlineStr"/>
      <c r="M83" s="23" t="n"/>
    </row>
    <row r="84">
      <c r="A84" s="26" t="n">
        <v>35</v>
      </c>
      <c r="B84" s="23" t="inlineStr">
        <is>
          <t>3872813</t>
        </is>
      </c>
      <c r="C84" s="23" t="inlineStr">
        <is>
          <t>Indicator, Restriction</t>
        </is>
      </c>
      <c r="D84" s="23" t="inlineStr"/>
      <c r="E84" s="27" t="n">
        <v>1</v>
      </c>
      <c r="F84" s="9" t="n"/>
      <c r="G84" s="9">
        <f>E84*F84</f>
        <v/>
      </c>
      <c r="H84" s="9" t="n">
        <v>1200</v>
      </c>
      <c r="I84" s="9">
        <f>E84*H84</f>
        <v/>
      </c>
      <c r="J84" s="23" t="inlineStr">
        <is>
          <t>derived_estimate</t>
        </is>
      </c>
      <c r="K84" s="23" t="inlineStr">
        <is>
          <t>Restriction indicator — air filter clogging alert</t>
        </is>
      </c>
      <c r="L84" s="23" t="inlineStr"/>
      <c r="M84" s="23" t="n"/>
    </row>
    <row r="85">
      <c r="A85" s="26" t="n">
        <v>36</v>
      </c>
      <c r="B85" s="23" t="inlineStr">
        <is>
          <t>32.17</t>
        </is>
      </c>
      <c r="C85" s="23" t="inlineStr">
        <is>
          <t>Festo Cylinder 32.17</t>
        </is>
      </c>
      <c r="D85" s="23" t="inlineStr"/>
      <c r="E85" s="27" t="n"/>
      <c r="F85" s="9" t="n">
        <v>55049.63</v>
      </c>
      <c r="G85" s="9">
        <f>E85*F85</f>
        <v/>
      </c>
      <c r="H85" s="9" t="n">
        <v>46800</v>
      </c>
      <c r="I85" s="9">
        <f>E85*H85</f>
        <v/>
      </c>
      <c r="J85" s="23" t="inlineStr">
        <is>
          <t>web_search</t>
        </is>
      </c>
      <c r="K85" s="23" t="inlineStr">
        <is>
          <t>Festo pneumatic cylinder — control system actuation</t>
        </is>
      </c>
      <c r="L85" s="23" t="inlineStr"/>
      <c r="M85" s="23" t="n"/>
    </row>
    <row r="86">
      <c r="A86" s="26" t="n">
        <v>36</v>
      </c>
      <c r="B86" s="23" t="inlineStr">
        <is>
          <t>3030764</t>
        </is>
      </c>
      <c r="C86" s="23" t="inlineStr">
        <is>
          <t>Hose, Hump</t>
        </is>
      </c>
      <c r="D86" s="23" t="inlineStr"/>
      <c r="E86" s="27" t="n">
        <v>1</v>
      </c>
      <c r="F86" s="9" t="n"/>
      <c r="G86" s="9">
        <f>E86*F86</f>
        <v/>
      </c>
      <c r="H86" s="9" t="n">
        <v>4500</v>
      </c>
      <c r="I86" s="9">
        <f>E86*H86</f>
        <v/>
      </c>
      <c r="J86" s="23" t="inlineStr">
        <is>
          <t>derived_estimate</t>
        </is>
      </c>
      <c r="K86" s="23" t="inlineStr">
        <is>
          <t>Hump hose — hydraulic/coolant line</t>
        </is>
      </c>
      <c r="L86" s="23" t="inlineStr"/>
      <c r="M86" s="23" t="n"/>
    </row>
    <row r="87">
      <c r="A87" s="26" t="n">
        <v>37</v>
      </c>
      <c r="B87" s="23" t="inlineStr">
        <is>
          <t>5/1/2008</t>
        </is>
      </c>
      <c r="C87" s="23" t="inlineStr">
        <is>
          <t>Valve MHF-5-1/8</t>
        </is>
      </c>
      <c r="D87" s="23" t="inlineStr"/>
      <c r="E87" s="27" t="n"/>
      <c r="F87" s="9" t="n">
        <v>63586.62</v>
      </c>
      <c r="G87" s="9">
        <f>E87*F87</f>
        <v/>
      </c>
      <c r="H87" s="9" t="n">
        <v>54000</v>
      </c>
      <c r="I87" s="9">
        <f>E87*H87</f>
        <v/>
      </c>
      <c r="J87" s="23" t="inlineStr">
        <is>
          <t>derived_estimate</t>
        </is>
      </c>
      <c r="K87" s="23" t="inlineStr">
        <is>
          <t>Solenoid control valve — hydraulic system</t>
        </is>
      </c>
      <c r="L87" s="23" t="inlineStr"/>
      <c r="M87" s="23" t="n"/>
    </row>
    <row r="88">
      <c r="A88" s="26" t="n">
        <v>37</v>
      </c>
      <c r="B88" s="23" t="inlineStr">
        <is>
          <t>3227853</t>
        </is>
      </c>
      <c r="C88" s="23" t="inlineStr">
        <is>
          <t>Hose, Hump</t>
        </is>
      </c>
      <c r="D88" s="23" t="inlineStr"/>
      <c r="E88" s="27" t="n">
        <v>1</v>
      </c>
      <c r="F88" s="9" t="n"/>
      <c r="G88" s="9">
        <f>E88*F88</f>
        <v/>
      </c>
      <c r="H88" s="9" t="n">
        <v>4500</v>
      </c>
      <c r="I88" s="9">
        <f>E88*H88</f>
        <v/>
      </c>
      <c r="J88" s="23" t="inlineStr">
        <is>
          <t>derived_estimate</t>
        </is>
      </c>
      <c r="K88" s="23" t="inlineStr">
        <is>
          <t>Hump hose — hydraulic/coolant line</t>
        </is>
      </c>
      <c r="L88" s="23" t="inlineStr"/>
      <c r="M88" s="23" t="n"/>
    </row>
    <row r="89">
      <c r="A89" s="26" t="n">
        <v>38</v>
      </c>
      <c r="B89" s="23" t="inlineStr">
        <is>
          <t>24/42</t>
        </is>
      </c>
      <c r="C89" s="23" t="inlineStr">
        <is>
          <t>Solenoid Coil MSFG 24/42</t>
        </is>
      </c>
      <c r="D89" s="23" t="inlineStr"/>
      <c r="E89" s="27" t="n"/>
      <c r="F89" s="9" t="n">
        <v>17958.43</v>
      </c>
      <c r="G89" s="9">
        <f>E89*F89</f>
        <v/>
      </c>
      <c r="H89" s="9" t="n">
        <v>15300</v>
      </c>
      <c r="I89" s="9">
        <f>E89*H89</f>
        <v/>
      </c>
      <c r="J89" s="23" t="inlineStr">
        <is>
          <t>derived_estimate</t>
        </is>
      </c>
      <c r="K89" s="23" t="inlineStr">
        <is>
          <t>Solenoid coil — electromagnetic actuator</t>
        </is>
      </c>
      <c r="L89" s="23" t="inlineStr"/>
      <c r="M89" s="23" t="n"/>
    </row>
    <row r="90">
      <c r="A90" s="26" t="n">
        <v>38</v>
      </c>
      <c r="B90" s="23" t="inlineStr">
        <is>
          <t>152026</t>
        </is>
      </c>
      <c r="C90" s="23" t="inlineStr">
        <is>
          <t>Clamp, T Bolt</t>
        </is>
      </c>
      <c r="D90" s="23" t="inlineStr"/>
      <c r="E90" s="27" t="n">
        <v>1</v>
      </c>
      <c r="F90" s="9" t="n"/>
      <c r="G90" s="9">
        <f>E90*F90</f>
        <v/>
      </c>
      <c r="H90" s="9" t="n">
        <v>800</v>
      </c>
      <c r="I90" s="9">
        <f>E90*H90</f>
        <v/>
      </c>
      <c r="J90" s="23" t="inlineStr">
        <is>
          <t>derived_estimate</t>
        </is>
      </c>
      <c r="K90" s="23" t="inlineStr">
        <is>
          <t>T-bolt clamp — hose/pipe fastening</t>
        </is>
      </c>
      <c r="L90" s="23" t="inlineStr"/>
      <c r="M90" s="23" t="n"/>
    </row>
    <row r="91">
      <c r="A91" s="26" t="n">
        <v>39</v>
      </c>
      <c r="B91" s="23" t="inlineStr">
        <is>
          <t>125741</t>
        </is>
      </c>
      <c r="C91" s="23" t="inlineStr">
        <is>
          <t>Clamp, T Bolt</t>
        </is>
      </c>
      <c r="D91" s="23" t="inlineStr"/>
      <c r="E91" s="27" t="n">
        <v>1</v>
      </c>
      <c r="F91" s="9" t="n"/>
      <c r="G91" s="9">
        <f>E91*F91</f>
        <v/>
      </c>
      <c r="H91" s="9" t="n">
        <v>800</v>
      </c>
      <c r="I91" s="9">
        <f>E91*H91</f>
        <v/>
      </c>
      <c r="J91" s="23" t="inlineStr">
        <is>
          <t>derived_estimate</t>
        </is>
      </c>
      <c r="K91" s="23" t="inlineStr">
        <is>
          <t>T-bolt clamp — hose/pipe fastening</t>
        </is>
      </c>
      <c r="L91" s="23" t="inlineStr"/>
      <c r="M91" s="23" t="n"/>
    </row>
    <row r="92">
      <c r="A92" s="26" t="n">
        <v>39</v>
      </c>
      <c r="B92" s="23" t="inlineStr">
        <is>
          <t>EI32-07</t>
        </is>
      </c>
      <c r="C92" s="23" t="inlineStr">
        <is>
          <t>Forward Reverse Switch</t>
        </is>
      </c>
      <c r="D92" s="23" t="inlineStr"/>
      <c r="E92" s="27" t="n"/>
      <c r="F92" s="9" t="n">
        <v>35215.79</v>
      </c>
      <c r="G92" s="9">
        <f>E92*F92</f>
        <v/>
      </c>
      <c r="H92" s="9" t="n">
        <v>29900</v>
      </c>
      <c r="I92" s="9">
        <f>E92*H92</f>
        <v/>
      </c>
      <c r="J92" s="23" t="inlineStr">
        <is>
          <t>derived_estimate</t>
        </is>
      </c>
      <c r="K92" s="23" t="inlineStr">
        <is>
          <t>Forward/reverse control switch — transmission direction</t>
        </is>
      </c>
      <c r="L92" s="23" t="inlineStr"/>
      <c r="M92" s="23" t="n"/>
    </row>
    <row r="93">
      <c r="A93" s="26" t="n">
        <v>40</v>
      </c>
      <c r="B93" s="23" t="inlineStr">
        <is>
          <t>EI32-02-AC</t>
        </is>
      </c>
      <c r="C93" s="23" t="inlineStr">
        <is>
          <t>Engine Start Stop Switch</t>
        </is>
      </c>
      <c r="D93" s="23" t="inlineStr"/>
      <c r="E93" s="27" t="n"/>
      <c r="F93" s="9" t="n">
        <v>18280.85</v>
      </c>
      <c r="G93" s="9">
        <f>E93*F93</f>
        <v/>
      </c>
      <c r="H93" s="9" t="n">
        <v>15500</v>
      </c>
      <c r="I93" s="9">
        <f>E93*H93</f>
        <v/>
      </c>
      <c r="J93" s="23" t="inlineStr">
        <is>
          <t>derived_estimate</t>
        </is>
      </c>
      <c r="K93" s="23" t="inlineStr">
        <is>
          <t>Engine start/stop control switch</t>
        </is>
      </c>
      <c r="L93" s="23" t="inlineStr"/>
      <c r="M93" s="23" t="n"/>
    </row>
    <row r="94">
      <c r="A94" s="26" t="n">
        <v>40</v>
      </c>
      <c r="B94" s="23" t="inlineStr">
        <is>
          <t>125739</t>
        </is>
      </c>
      <c r="C94" s="23" t="inlineStr">
        <is>
          <t>Clamp, T Bolt</t>
        </is>
      </c>
      <c r="D94" s="23" t="inlineStr">
        <is>
          <t>Numbers</t>
        </is>
      </c>
      <c r="E94" s="27" t="n">
        <v>2</v>
      </c>
      <c r="F94" s="9" t="n"/>
      <c r="G94" s="9">
        <f>E94*F94</f>
        <v/>
      </c>
      <c r="H94" s="9" t="n">
        <v>800</v>
      </c>
      <c r="I94" s="9">
        <f>E94*H94</f>
        <v/>
      </c>
      <c r="J94" s="23" t="inlineStr">
        <is>
          <t>derived_estimate</t>
        </is>
      </c>
      <c r="K94" s="23" t="inlineStr">
        <is>
          <t>T-bolt clamps (qty 2) — hose/pipe fastening</t>
        </is>
      </c>
      <c r="L94" s="23" t="inlineStr"/>
      <c r="M94" s="23" t="n"/>
    </row>
    <row r="95">
      <c r="A95" s="26" t="n">
        <v>41</v>
      </c>
      <c r="B95" s="23" t="inlineStr">
        <is>
          <t>EI32-03-AA0107</t>
        </is>
      </c>
      <c r="C95" s="23" t="inlineStr">
        <is>
          <t>Range Selector Switch</t>
        </is>
      </c>
      <c r="D95" s="23" t="inlineStr"/>
      <c r="E95" s="27" t="n"/>
      <c r="F95" s="9" t="n">
        <v>19937.37</v>
      </c>
      <c r="G95" s="9">
        <f>E95*F95</f>
        <v/>
      </c>
      <c r="H95" s="9" t="n">
        <v>16900</v>
      </c>
      <c r="I95" s="9">
        <f>E95*H95</f>
        <v/>
      </c>
      <c r="J95" s="23" t="inlineStr">
        <is>
          <t>derived_estimate</t>
        </is>
      </c>
      <c r="K95" s="23" t="inlineStr">
        <is>
          <t>Range selector switch — transmission mode selection</t>
        </is>
      </c>
      <c r="L95" s="23" t="inlineStr"/>
      <c r="M95" s="23" t="n"/>
    </row>
    <row r="96">
      <c r="A96" s="26" t="n">
        <v>41</v>
      </c>
      <c r="B96" s="23" t="inlineStr">
        <is>
          <t>3030513</t>
        </is>
      </c>
      <c r="C96" s="23" t="inlineStr">
        <is>
          <t>Hose, Elbow</t>
        </is>
      </c>
      <c r="D96" s="23" t="inlineStr">
        <is>
          <t>Numbers</t>
        </is>
      </c>
      <c r="E96" s="27" t="n">
        <v>2</v>
      </c>
      <c r="F96" s="9" t="n"/>
      <c r="G96" s="9">
        <f>E96*F96</f>
        <v/>
      </c>
      <c r="H96" s="9" t="n">
        <v>3500</v>
      </c>
      <c r="I96" s="9">
        <f>E96*H96</f>
        <v/>
      </c>
      <c r="J96" s="23" t="inlineStr">
        <is>
          <t>derived_estimate</t>
        </is>
      </c>
      <c r="K96" s="23" t="inlineStr">
        <is>
          <t>Hose elbows (qty 2) — hydraulic/coolant line fittings</t>
        </is>
      </c>
      <c r="L96" s="23" t="inlineStr"/>
      <c r="M96" s="23" t="n"/>
    </row>
    <row r="97">
      <c r="A97" s="26" t="n">
        <v>42</v>
      </c>
      <c r="B97" s="23" t="inlineStr">
        <is>
          <t>EI32-08-AA0105</t>
        </is>
      </c>
      <c r="C97" s="23" t="inlineStr">
        <is>
          <t>Throttle Switch</t>
        </is>
      </c>
      <c r="D97" s="23" t="inlineStr"/>
      <c r="E97" s="27" t="n"/>
      <c r="F97" s="9" t="n">
        <v>35215.79</v>
      </c>
      <c r="G97" s="9">
        <f>E97*F97</f>
        <v/>
      </c>
      <c r="H97" s="9" t="n">
        <v>29900</v>
      </c>
      <c r="I97" s="9">
        <f>E97*H97</f>
        <v/>
      </c>
      <c r="J97" s="23" t="inlineStr">
        <is>
          <t>derived_estimate</t>
        </is>
      </c>
      <c r="K97" s="23" t="inlineStr">
        <is>
          <t>Throttle control switch — engine speed regulation</t>
        </is>
      </c>
      <c r="L97" s="23" t="inlineStr"/>
      <c r="M97" s="23" t="n"/>
    </row>
    <row r="98">
      <c r="A98" s="26" t="n">
        <v>42</v>
      </c>
      <c r="B98" s="23" t="inlineStr">
        <is>
          <t>3030793</t>
        </is>
      </c>
      <c r="C98" s="23" t="inlineStr">
        <is>
          <t>Hose, Hump</t>
        </is>
      </c>
      <c r="D98" s="23" t="inlineStr">
        <is>
          <t>Numbers</t>
        </is>
      </c>
      <c r="E98" s="27" t="n">
        <v>4</v>
      </c>
      <c r="F98" s="9" t="n"/>
      <c r="G98" s="9">
        <f>E98*F98</f>
        <v/>
      </c>
      <c r="H98" s="9" t="n">
        <v>4500</v>
      </c>
      <c r="I98" s="9">
        <f>E98*H98</f>
        <v/>
      </c>
      <c r="J98" s="23" t="inlineStr">
        <is>
          <t>derived_estimate</t>
        </is>
      </c>
      <c r="K98" s="23" t="inlineStr">
        <is>
          <t>Hump hoses (qty 4) — hydraulic/coolant lines</t>
        </is>
      </c>
      <c r="L98" s="23" t="inlineStr"/>
      <c r="M98" s="23" t="n"/>
    </row>
    <row r="99">
      <c r="A99" s="26" t="n">
        <v>43</v>
      </c>
      <c r="B99" s="23" t="inlineStr">
        <is>
          <t>11029</t>
        </is>
      </c>
      <c r="C99" s="23" t="inlineStr">
        <is>
          <t>Solenoid Valve Single</t>
        </is>
      </c>
      <c r="D99" s="23" t="inlineStr"/>
      <c r="E99" s="27" t="n"/>
      <c r="F99" s="9" t="n">
        <v>18013.44</v>
      </c>
      <c r="G99" s="9">
        <f>E99*F99</f>
        <v/>
      </c>
      <c r="H99" s="9" t="n">
        <v>15300</v>
      </c>
      <c r="I99" s="9">
        <f>E99*H99</f>
        <v/>
      </c>
      <c r="J99" s="23" t="inlineStr">
        <is>
          <t>derived_estimate</t>
        </is>
      </c>
      <c r="K99" s="23" t="inlineStr">
        <is>
          <t>Single solenoid valve — hydraulic control</t>
        </is>
      </c>
      <c r="L99" s="23" t="inlineStr"/>
      <c r="M99" s="23" t="n"/>
    </row>
    <row r="100">
      <c r="A100" s="26" t="n">
        <v>43</v>
      </c>
      <c r="B100" s="23" t="inlineStr">
        <is>
          <t>3873738</t>
        </is>
      </c>
      <c r="C100" s="23" t="inlineStr">
        <is>
          <t>Hose, Elbow</t>
        </is>
      </c>
      <c r="D100" s="23" t="inlineStr">
        <is>
          <t>Numbers</t>
        </is>
      </c>
      <c r="E100" s="27" t="n">
        <v>1</v>
      </c>
      <c r="F100" s="9" t="n"/>
      <c r="G100" s="9">
        <f>E100*F100</f>
        <v/>
      </c>
      <c r="H100" s="9" t="n">
        <v>3500</v>
      </c>
      <c r="I100" s="9">
        <f>E100*H100</f>
        <v/>
      </c>
      <c r="J100" s="23" t="inlineStr">
        <is>
          <t>derived_estimate</t>
        </is>
      </c>
      <c r="K100" s="23" t="inlineStr">
        <is>
          <t>Hose elbow — hydraulic/coolant line fitting</t>
        </is>
      </c>
      <c r="L100" s="23" t="inlineStr"/>
      <c r="M100" s="23" t="n"/>
    </row>
    <row r="101">
      <c r="A101" s="26" t="n">
        <v>44</v>
      </c>
      <c r="B101" s="23" t="inlineStr">
        <is>
          <t>11030</t>
        </is>
      </c>
      <c r="C101" s="23" t="inlineStr">
        <is>
          <t>Solenoid Valve Double</t>
        </is>
      </c>
      <c r="D101" s="23" t="inlineStr"/>
      <c r="E101" s="27" t="n"/>
      <c r="F101" s="9" t="n">
        <v>38232.43</v>
      </c>
      <c r="G101" s="9">
        <f>E101*F101</f>
        <v/>
      </c>
      <c r="H101" s="9" t="n">
        <v>32500</v>
      </c>
      <c r="I101" s="9">
        <f>E101*H101</f>
        <v/>
      </c>
      <c r="J101" s="23" t="inlineStr">
        <is>
          <t>derived_estimate</t>
        </is>
      </c>
      <c r="K101" s="23" t="inlineStr">
        <is>
          <t>Double solenoid valve — bidirectional hydraulic control</t>
        </is>
      </c>
      <c r="L101" s="23" t="inlineStr"/>
      <c r="M101" s="23" t="n"/>
    </row>
    <row r="102">
      <c r="A102" s="26" t="n">
        <v>44</v>
      </c>
      <c r="B102" s="23" t="inlineStr">
        <is>
          <t>140314</t>
        </is>
      </c>
      <c r="C102" s="23" t="inlineStr">
        <is>
          <t>Clamp, T Bolt</t>
        </is>
      </c>
      <c r="D102" s="23" t="inlineStr">
        <is>
          <t>Numbers</t>
        </is>
      </c>
      <c r="E102" s="27" t="n">
        <v>2</v>
      </c>
      <c r="F102" s="9" t="n"/>
      <c r="G102" s="9">
        <f>E102*F102</f>
        <v/>
      </c>
      <c r="H102" s="9" t="n">
        <v>800</v>
      </c>
      <c r="I102" s="9">
        <f>E102*H102</f>
        <v/>
      </c>
      <c r="J102" s="23" t="inlineStr">
        <is>
          <t>derived_estimate</t>
        </is>
      </c>
      <c r="K102" s="23" t="inlineStr">
        <is>
          <t>T-bolt clamps (qty 2) — hose/pipe fastening</t>
        </is>
      </c>
      <c r="L102" s="23" t="inlineStr"/>
      <c r="M102" s="23" t="n"/>
    </row>
    <row r="103">
      <c r="A103" s="26" t="n">
        <v>45</v>
      </c>
      <c r="B103" s="23" t="inlineStr">
        <is>
          <t>2884924</t>
        </is>
      </c>
      <c r="C103" s="23" t="inlineStr">
        <is>
          <t>Gasket, Flange</t>
        </is>
      </c>
      <c r="D103" s="23" t="inlineStr">
        <is>
          <t>Numbers</t>
        </is>
      </c>
      <c r="E103" s="27" t="n">
        <v>1</v>
      </c>
      <c r="F103" s="9" t="n"/>
      <c r="G103" s="9">
        <f>E103*F103</f>
        <v/>
      </c>
      <c r="H103" s="9" t="n">
        <v>1500</v>
      </c>
      <c r="I103" s="9">
        <f>E103*H103</f>
        <v/>
      </c>
      <c r="J103" s="23" t="inlineStr">
        <is>
          <t>derived_estimate</t>
        </is>
      </c>
      <c r="K103" s="23" t="inlineStr">
        <is>
          <t>Flange gasket — seal for pipe connections</t>
        </is>
      </c>
      <c r="L103" s="23" t="inlineStr"/>
      <c r="M103" s="23" t="n"/>
    </row>
    <row r="104">
      <c r="A104" s="26" t="n">
        <v>45</v>
      </c>
      <c r="B104" s="23" t="inlineStr">
        <is>
          <t>11031</t>
        </is>
      </c>
      <c r="C104" s="23" t="inlineStr">
        <is>
          <t>Sensor with Transmitter</t>
        </is>
      </c>
      <c r="D104" s="23" t="inlineStr"/>
      <c r="E104" s="27" t="n"/>
      <c r="F104" s="9" t="n">
        <v>11832.27</v>
      </c>
      <c r="G104" s="9">
        <f>E104*F104</f>
        <v/>
      </c>
      <c r="H104" s="9" t="n">
        <v>10100</v>
      </c>
      <c r="I104" s="9">
        <f>E104*H104</f>
        <v/>
      </c>
      <c r="J104" s="23" t="inlineStr">
        <is>
          <t>derived_estimate</t>
        </is>
      </c>
      <c r="K104" s="23" t="inlineStr">
        <is>
          <t>Sensor with transmitter — system monitoring</t>
        </is>
      </c>
      <c r="L104" s="23" t="inlineStr"/>
      <c r="M104" s="23" t="n"/>
    </row>
    <row r="105">
      <c r="A105" s="26" t="n">
        <v>46</v>
      </c>
      <c r="B105" s="23" t="inlineStr">
        <is>
          <t>3034222</t>
        </is>
      </c>
      <c r="C105" s="23" t="inlineStr">
        <is>
          <t>Gear Pump (PT Pump)</t>
        </is>
      </c>
      <c r="D105" s="23" t="inlineStr"/>
      <c r="E105" s="27" t="n"/>
      <c r="F105" s="9" t="n">
        <v>80420.97</v>
      </c>
      <c r="G105" s="9">
        <f>E105*F105</f>
        <v/>
      </c>
      <c r="H105" s="9" t="n">
        <v>68400</v>
      </c>
      <c r="I105" s="9">
        <f>E105*H105</f>
        <v/>
      </c>
      <c r="J105" s="23" t="inlineStr">
        <is>
          <t>derived_estimate</t>
        </is>
      </c>
      <c r="K105" s="23" t="inlineStr">
        <is>
          <t>Gear pump (PT pump) — fuel injection system</t>
        </is>
      </c>
      <c r="L105" s="23" t="inlineStr"/>
      <c r="M105" s="23" t="n"/>
    </row>
    <row r="106">
      <c r="A106" s="26" t="n">
        <v>46</v>
      </c>
      <c r="B106" s="23" t="inlineStr">
        <is>
          <t>3002385</t>
        </is>
      </c>
      <c r="C106" s="23" t="inlineStr">
        <is>
          <t>Gasket, Water Pump</t>
        </is>
      </c>
      <c r="D106" s="23" t="inlineStr">
        <is>
          <t>Numbers</t>
        </is>
      </c>
      <c r="E106" s="27" t="n">
        <v>1</v>
      </c>
      <c r="F106" s="9" t="n"/>
      <c r="G106" s="9">
        <f>E106*F106</f>
        <v/>
      </c>
      <c r="H106" s="9" t="n">
        <v>1000</v>
      </c>
      <c r="I106" s="9">
        <f>E106*H106</f>
        <v/>
      </c>
      <c r="J106" s="23" t="inlineStr">
        <is>
          <t>web_search</t>
        </is>
      </c>
      <c r="K106" s="23" t="inlineStr">
        <is>
          <t>Water pump gasket — cooling system seal</t>
        </is>
      </c>
      <c r="L106" s="23" t="inlineStr"/>
      <c r="M106" s="23" t="n"/>
    </row>
    <row r="107">
      <c r="A107" s="26" t="n">
        <v>47</v>
      </c>
      <c r="B107" s="23" t="inlineStr">
        <is>
          <t>438288</t>
        </is>
      </c>
      <c r="C107" s="23" t="inlineStr">
        <is>
          <t>Clamp, Hose</t>
        </is>
      </c>
      <c r="D107" s="23" t="inlineStr">
        <is>
          <t>Numbers</t>
        </is>
      </c>
      <c r="E107" s="27" t="n">
        <v>10</v>
      </c>
      <c r="F107" s="9" t="n"/>
      <c r="G107" s="9">
        <f>E107*F107</f>
        <v/>
      </c>
      <c r="H107" s="9" t="n">
        <v>400</v>
      </c>
      <c r="I107" s="9">
        <f>E107*H107</f>
        <v/>
      </c>
      <c r="J107" s="23" t="inlineStr">
        <is>
          <t>derived_estimate</t>
        </is>
      </c>
      <c r="K107" s="23" t="inlineStr">
        <is>
          <t>Hose clamps (qty 10) — hose fastening</t>
        </is>
      </c>
      <c r="L107" s="23" t="inlineStr"/>
      <c r="M107" s="23" t="n"/>
    </row>
    <row r="108">
      <c r="A108" s="26" t="n">
        <v>47</v>
      </c>
      <c r="B108" s="23" t="inlineStr">
        <is>
          <t>3007630</t>
        </is>
      </c>
      <c r="C108" s="23" t="inlineStr">
        <is>
          <t>Mute Unit (Solenoids)</t>
        </is>
      </c>
      <c r="D108" s="23" t="inlineStr"/>
      <c r="E108" s="27" t="n"/>
      <c r="F108" s="9" t="n">
        <v>395733.3</v>
      </c>
      <c r="G108" s="9">
        <f>E108*F108</f>
        <v/>
      </c>
      <c r="H108" s="9" t="n">
        <v>336300</v>
      </c>
      <c r="I108" s="9">
        <f>E108*H108</f>
        <v/>
      </c>
      <c r="J108" s="23" t="inlineStr">
        <is>
          <t>derived_estimate</t>
        </is>
      </c>
      <c r="K108" s="23" t="inlineStr">
        <is>
          <t>Mute unit with solenoids — noise suppression assembly</t>
        </is>
      </c>
      <c r="L108" s="23" t="inlineStr"/>
      <c r="M108" s="23" t="n"/>
    </row>
    <row r="109">
      <c r="A109" s="26" t="n">
        <v>48</v>
      </c>
      <c r="B109" s="23" t="inlineStr">
        <is>
          <t>63495</t>
        </is>
      </c>
      <c r="C109" s="23" t="inlineStr">
        <is>
          <t>Hose, Plain</t>
        </is>
      </c>
      <c r="D109" s="23" t="inlineStr">
        <is>
          <t>Numbers</t>
        </is>
      </c>
      <c r="E109" s="27" t="n">
        <v>1</v>
      </c>
      <c r="F109" s="9" t="n"/>
      <c r="G109" s="9">
        <f>E109*F109</f>
        <v/>
      </c>
      <c r="H109" s="9" t="n">
        <v>4500</v>
      </c>
      <c r="I109" s="9">
        <f>E109*H109</f>
        <v/>
      </c>
      <c r="J109" s="23" t="inlineStr">
        <is>
          <t>derived_estimate</t>
        </is>
      </c>
      <c r="K109" s="23" t="inlineStr">
        <is>
          <t>Plain hose — hydraulic/coolant line</t>
        </is>
      </c>
      <c r="L109" s="23" t="inlineStr"/>
      <c r="M109" s="23" t="n"/>
    </row>
    <row r="110">
      <c r="A110" s="26" t="n">
        <v>48</v>
      </c>
      <c r="B110" s="23" t="inlineStr">
        <is>
          <t>4055108</t>
        </is>
      </c>
      <c r="C110" s="23" t="inlineStr">
        <is>
          <t>Valve Fuel Shutoff</t>
        </is>
      </c>
      <c r="D110" s="23" t="inlineStr"/>
      <c r="E110" s="27" t="n"/>
      <c r="F110" s="9" t="n">
        <v>4486.814</v>
      </c>
      <c r="G110" s="9">
        <f>E110*F110</f>
        <v/>
      </c>
      <c r="H110" s="9" t="n">
        <v>3800</v>
      </c>
      <c r="I110" s="9">
        <f>E110*H110</f>
        <v/>
      </c>
      <c r="J110" s="23" t="inlineStr">
        <is>
          <t>derived_estimate</t>
        </is>
      </c>
      <c r="K110" s="23" t="inlineStr">
        <is>
          <t>Fuel shutoff valve — engine fuel control</t>
        </is>
      </c>
      <c r="L110" s="23" t="inlineStr"/>
      <c r="M110" s="23" t="n"/>
    </row>
    <row r="111">
      <c r="A111" s="26" t="n">
        <v>49</v>
      </c>
      <c r="B111" s="23" t="inlineStr">
        <is>
          <t>8001157</t>
        </is>
      </c>
      <c r="C111" s="23" t="inlineStr">
        <is>
          <t>Transmission Hydraulic Pump</t>
        </is>
      </c>
      <c r="D111" s="23" t="inlineStr"/>
      <c r="E111" s="27" t="n"/>
      <c r="F111" s="9" t="n">
        <v>472198.09</v>
      </c>
      <c r="G111" s="9">
        <f>E111*F111</f>
        <v/>
      </c>
      <c r="H111" s="9" t="n">
        <v>401700</v>
      </c>
      <c r="I111" s="9">
        <f>E111*H111</f>
        <v/>
      </c>
      <c r="J111" s="23" t="inlineStr">
        <is>
          <t>derived_estimate</t>
        </is>
      </c>
      <c r="K111" s="23" t="inlineStr">
        <is>
          <t>Transmission hydraulic pump — power transmission</t>
        </is>
      </c>
      <c r="L111" s="23" t="inlineStr"/>
      <c r="M111" s="23" t="n"/>
    </row>
    <row r="112">
      <c r="A112" s="26" t="n">
        <v>49</v>
      </c>
      <c r="B112" s="23" t="inlineStr">
        <is>
          <t>3058383</t>
        </is>
      </c>
      <c r="C112" s="23" t="inlineStr">
        <is>
          <t>Belt, V</t>
        </is>
      </c>
      <c r="D112" s="23" t="inlineStr">
        <is>
          <t>Numbers</t>
        </is>
      </c>
      <c r="E112" s="27" t="n">
        <v>2</v>
      </c>
      <c r="F112" s="9" t="n"/>
      <c r="G112" s="9">
        <f>E112*F112</f>
        <v/>
      </c>
      <c r="H112" s="9" t="n">
        <v>5000</v>
      </c>
      <c r="I112" s="9">
        <f>E112*H112</f>
        <v/>
      </c>
      <c r="J112" s="23" t="inlineStr">
        <is>
          <t>derived_estimate</t>
        </is>
      </c>
      <c r="K112" s="23" t="inlineStr">
        <is>
          <t>V-belts (qty 2) — engine drive belts</t>
        </is>
      </c>
      <c r="L112" s="23" t="inlineStr"/>
      <c r="M112" s="23" t="n"/>
    </row>
    <row r="113">
      <c r="A113" s="26" t="n">
        <v>50</v>
      </c>
      <c r="B113" s="23" t="inlineStr">
        <is>
          <t>3872284</t>
        </is>
      </c>
      <c r="C113" s="23" t="inlineStr">
        <is>
          <t>Connector, Pipe</t>
        </is>
      </c>
      <c r="D113" s="23" t="inlineStr">
        <is>
          <t>Numbers</t>
        </is>
      </c>
      <c r="E113" s="27" t="n">
        <v>3</v>
      </c>
      <c r="F113" s="9" t="n"/>
      <c r="G113" s="9">
        <f>E113*F113</f>
        <v/>
      </c>
      <c r="H113" s="9" t="n">
        <v>1200</v>
      </c>
      <c r="I113" s="9">
        <f>E113*H113</f>
        <v/>
      </c>
      <c r="J113" s="23" t="inlineStr">
        <is>
          <t>derived_estimate</t>
        </is>
      </c>
      <c r="K113" s="23" t="inlineStr">
        <is>
          <t>Pipe connectors (qty 3) — hydraulic line fittings</t>
        </is>
      </c>
      <c r="L113" s="23" t="inlineStr"/>
      <c r="M113" s="23" t="n"/>
    </row>
    <row r="114">
      <c r="A114" s="26" t="n">
        <v>50</v>
      </c>
      <c r="B114" s="23" t="inlineStr">
        <is>
          <t>80001461</t>
        </is>
      </c>
      <c r="C114" s="23" t="inlineStr">
        <is>
          <t>Transmission Hydraulic Filter Element</t>
        </is>
      </c>
      <c r="D114" s="23" t="inlineStr"/>
      <c r="E114" s="27" t="n"/>
      <c r="F114" s="9" t="n">
        <v>31234.23</v>
      </c>
      <c r="G114" s="9">
        <f>E114*F114</f>
        <v/>
      </c>
      <c r="H114" s="9" t="n">
        <v>26500</v>
      </c>
      <c r="I114" s="9">
        <f>E114*H114</f>
        <v/>
      </c>
      <c r="J114" s="23" t="inlineStr">
        <is>
          <t>derived_estimate</t>
        </is>
      </c>
      <c r="K114" s="23" t="inlineStr">
        <is>
          <t>Hydraulic filter element — transmission fluid filtration</t>
        </is>
      </c>
      <c r="L114" s="23" t="inlineStr"/>
      <c r="M114" s="23" t="n"/>
    </row>
    <row r="115">
      <c r="A115" s="26" t="n">
        <v>51</v>
      </c>
      <c r="B115" s="23" t="inlineStr">
        <is>
          <t>80001460</t>
        </is>
      </c>
      <c r="C115" s="23" t="inlineStr">
        <is>
          <t>Transmission Hydraulic Filter Element Assy</t>
        </is>
      </c>
      <c r="D115" s="23" t="inlineStr"/>
      <c r="E115" s="27" t="n"/>
      <c r="F115" s="9" t="n">
        <v>6945.54</v>
      </c>
      <c r="G115" s="9">
        <f>E115*F115</f>
        <v/>
      </c>
      <c r="H115" s="9" t="n">
        <v>5900</v>
      </c>
      <c r="I115" s="9">
        <f>E115*H115</f>
        <v/>
      </c>
      <c r="J115" s="23" t="inlineStr">
        <is>
          <t>derived_estimate</t>
        </is>
      </c>
      <c r="K115" s="23" t="inlineStr">
        <is>
          <t>Hydraulic filter element assembly — transmission filtration</t>
        </is>
      </c>
      <c r="L115" s="23" t="inlineStr"/>
      <c r="M115" s="23" t="n"/>
    </row>
    <row r="116">
      <c r="A116" s="26" t="n">
        <v>51</v>
      </c>
      <c r="B116" s="23" t="inlineStr">
        <is>
          <t>3872268</t>
        </is>
      </c>
      <c r="C116" s="23" t="inlineStr">
        <is>
          <t>Connector, Pipe</t>
        </is>
      </c>
      <c r="D116" s="23" t="inlineStr">
        <is>
          <t>Numbers</t>
        </is>
      </c>
      <c r="E116" s="27" t="n">
        <v>8</v>
      </c>
      <c r="F116" s="9" t="n"/>
      <c r="G116" s="9">
        <f>E116*F116</f>
        <v/>
      </c>
      <c r="H116" s="9" t="n">
        <v>1200</v>
      </c>
      <c r="I116" s="9">
        <f>E116*H116</f>
        <v/>
      </c>
      <c r="J116" s="23" t="inlineStr">
        <is>
          <t>derived_estimate</t>
        </is>
      </c>
      <c r="K116" s="23" t="inlineStr">
        <is>
          <t>Pipe connectors (qty 8) — hydraulic line fittings</t>
        </is>
      </c>
      <c r="L116" s="23" t="inlineStr"/>
      <c r="M116" s="23" t="n"/>
    </row>
    <row r="117">
      <c r="A117" s="26" t="n">
        <v>52</v>
      </c>
      <c r="B117" s="23" t="inlineStr">
        <is>
          <t>2870411</t>
        </is>
      </c>
      <c r="C117" s="23" t="inlineStr">
        <is>
          <t>Hose, Flexible</t>
        </is>
      </c>
      <c r="D117" s="23" t="inlineStr">
        <is>
          <t>Numbers</t>
        </is>
      </c>
      <c r="E117" s="27" t="n">
        <v>2</v>
      </c>
      <c r="F117" s="9" t="n"/>
      <c r="G117" s="9">
        <f>E117*F117</f>
        <v/>
      </c>
      <c r="H117" s="9" t="n">
        <v>5500</v>
      </c>
      <c r="I117" s="9">
        <f>E117*H117</f>
        <v/>
      </c>
      <c r="J117" s="23" t="inlineStr">
        <is>
          <t>derived_estimate</t>
        </is>
      </c>
      <c r="K117" s="23" t="inlineStr">
        <is>
          <t>Flexible hoses (qty 2) — hydraulic/coolant lines</t>
        </is>
      </c>
      <c r="L117" s="23" t="inlineStr"/>
      <c r="M117" s="23" t="n"/>
    </row>
    <row r="118">
      <c r="A118" s="26" t="n">
        <v>52</v>
      </c>
      <c r="B118" s="23" t="inlineStr">
        <is>
          <t>4320</t>
        </is>
      </c>
      <c r="C118" s="23" t="inlineStr">
        <is>
          <t>Hydraulic Pump for Fan Drive</t>
        </is>
      </c>
      <c r="D118" s="23" t="inlineStr"/>
      <c r="E118" s="27" t="n"/>
      <c r="F118" s="9" t="n">
        <v>29862.19</v>
      </c>
      <c r="G118" s="9">
        <f>E118*F118</f>
        <v/>
      </c>
      <c r="H118" s="9" t="n">
        <v>25400</v>
      </c>
      <c r="I118" s="9">
        <f>E118*H118</f>
        <v/>
      </c>
      <c r="J118" s="23" t="inlineStr">
        <is>
          <t>derived_estimate</t>
        </is>
      </c>
      <c r="K118" s="23" t="inlineStr">
        <is>
          <t>Hydraulic pump for fan drive — cooling system</t>
        </is>
      </c>
      <c r="L118" s="23" t="inlineStr"/>
      <c r="M118" s="23" t="n"/>
    </row>
    <row r="119">
      <c r="A119" s="26" t="n">
        <v>53</v>
      </c>
      <c r="B119" s="23" t="inlineStr">
        <is>
          <t>MR7918I</t>
        </is>
      </c>
      <c r="C119" s="23" t="inlineStr">
        <is>
          <t>Speedometer for PT (Laxven)</t>
        </is>
      </c>
      <c r="D119" s="23" t="inlineStr"/>
      <c r="E119" s="27" t="n"/>
      <c r="F119" s="9" t="n">
        <v>600857.36</v>
      </c>
      <c r="G119" s="9">
        <f>E119*F119</f>
        <v/>
      </c>
      <c r="H119" s="9" t="n">
        <v>510700</v>
      </c>
      <c r="I119" s="9">
        <f>E119*H119</f>
        <v/>
      </c>
      <c r="J119" s="23" t="inlineStr">
        <is>
          <t>derived_estimate</t>
        </is>
      </c>
      <c r="K119" s="23" t="inlineStr">
        <is>
          <t>Speedometer for PT system (Laxven brand) — engine speed indication</t>
        </is>
      </c>
      <c r="L119" s="23" t="inlineStr"/>
      <c r="M119" s="23" t="n"/>
    </row>
    <row r="120">
      <c r="A120" s="26" t="n">
        <v>53</v>
      </c>
      <c r="B120" s="23" t="inlineStr">
        <is>
          <t>135675</t>
        </is>
      </c>
      <c r="C120" s="23" t="inlineStr">
        <is>
          <t>Thermostat</t>
        </is>
      </c>
      <c r="D120" s="23" t="inlineStr">
        <is>
          <t>Numbers</t>
        </is>
      </c>
      <c r="E120" s="27" t="n">
        <v>1</v>
      </c>
      <c r="F120" s="9" t="n"/>
      <c r="G120" s="9">
        <f>E120*F120</f>
        <v/>
      </c>
      <c r="H120" s="9" t="n">
        <v>3500</v>
      </c>
      <c r="I120" s="9">
        <f>E120*H120</f>
        <v/>
      </c>
      <c r="J120" s="23" t="inlineStr">
        <is>
          <t>derived_estimate</t>
        </is>
      </c>
      <c r="K120" s="23" t="inlineStr">
        <is>
          <t>Thermostat — engine cooling system temperature control</t>
        </is>
      </c>
      <c r="L120" s="23" t="inlineStr"/>
      <c r="M120" s="23" t="n"/>
    </row>
    <row r="121">
      <c r="A121" s="26" t="n">
        <v>54</v>
      </c>
      <c r="B121" s="23" t="inlineStr">
        <is>
          <t>4085738</t>
        </is>
      </c>
      <c r="C121" s="23" t="inlineStr">
        <is>
          <t>Belt, V</t>
        </is>
      </c>
      <c r="D121" s="23" t="inlineStr">
        <is>
          <t>Numbers</t>
        </is>
      </c>
      <c r="E121" s="27" t="n">
        <v>1</v>
      </c>
      <c r="F121" s="9" t="n"/>
      <c r="G121" s="9">
        <f>E121*F121</f>
        <v/>
      </c>
      <c r="H121" s="9" t="n">
        <v>5000</v>
      </c>
      <c r="I121" s="9">
        <f>E121*H121</f>
        <v/>
      </c>
      <c r="J121" s="23" t="inlineStr">
        <is>
          <t>derived_estimate</t>
        </is>
      </c>
      <c r="K121" s="23" t="inlineStr">
        <is>
          <t>V-belt — engine drive belt</t>
        </is>
      </c>
      <c r="L121" s="23" t="inlineStr"/>
      <c r="M121" s="23" t="n"/>
    </row>
    <row r="122">
      <c r="A122" s="26" t="n">
        <v>54</v>
      </c>
      <c r="B122" s="23" t="inlineStr">
        <is>
          <t>AX1012900</t>
        </is>
      </c>
      <c r="C122" s="23" t="inlineStr">
        <is>
          <t>Battery Pulse Ultra Lite 12V</t>
        </is>
      </c>
      <c r="D122" s="23" t="inlineStr"/>
      <c r="E122" s="27" t="n"/>
      <c r="F122" s="9" t="n">
        <v>10678.18</v>
      </c>
      <c r="G122" s="9">
        <f>E122*F122</f>
        <v/>
      </c>
      <c r="H122" s="9" t="n">
        <v>9100</v>
      </c>
      <c r="I122" s="9">
        <f>E122*H122</f>
        <v/>
      </c>
      <c r="J122" s="23" t="inlineStr">
        <is>
          <t>derived_estimate</t>
        </is>
      </c>
      <c r="K122" s="23" t="inlineStr">
        <is>
          <t>Battery Pulse Ultra Lite 12V — electrical system</t>
        </is>
      </c>
      <c r="L122" s="23" t="inlineStr"/>
      <c r="M122" s="23" t="n"/>
    </row>
    <row r="123">
      <c r="A123" s="26" t="n">
        <v>55</v>
      </c>
      <c r="B123" s="23" t="inlineStr">
        <is>
          <t>4327021</t>
        </is>
      </c>
      <c r="C123" s="23" t="inlineStr">
        <is>
          <t>Switch Temperature</t>
        </is>
      </c>
      <c r="D123" s="23" t="inlineStr"/>
      <c r="E123" s="27" t="n"/>
      <c r="F123" s="9" t="n">
        <v>14695.17</v>
      </c>
      <c r="G123" s="9">
        <f>E123*F123</f>
        <v/>
      </c>
      <c r="H123" s="9" t="n">
        <v>12500</v>
      </c>
      <c r="I123" s="9">
        <f>E123*H123</f>
        <v/>
      </c>
      <c r="J123" s="23" t="inlineStr">
        <is>
          <t>derived_estimate</t>
        </is>
      </c>
      <c r="K123" s="23" t="inlineStr">
        <is>
          <t>Temperature switch — cooling system monitoring</t>
        </is>
      </c>
      <c r="L123" s="23" t="inlineStr"/>
      <c r="M123" s="23" t="n"/>
    </row>
    <row r="124">
      <c r="A124" s="26" t="n">
        <v>55</v>
      </c>
      <c r="B124" s="23" t="inlineStr">
        <is>
          <t>KITAN95138</t>
        </is>
      </c>
      <c r="C124" s="23" t="inlineStr">
        <is>
          <t>Gasket Set</t>
        </is>
      </c>
      <c r="D124" s="23" t="inlineStr">
        <is>
          <t>Numbers</t>
        </is>
      </c>
      <c r="E124" s="27" t="n">
        <v>1</v>
      </c>
      <c r="F124" s="9" t="n"/>
      <c r="G124" s="9">
        <f>E124*F124</f>
        <v/>
      </c>
      <c r="H124" s="9" t="n">
        <v>5000</v>
      </c>
      <c r="I124" s="9">
        <f>E124*H124</f>
        <v/>
      </c>
      <c r="J124" s="23" t="inlineStr">
        <is>
          <t>web_search</t>
        </is>
      </c>
      <c r="K124" s="23" t="inlineStr">
        <is>
          <t>Gasket set — engine sealing components</t>
        </is>
      </c>
      <c r="L124" s="23" t="inlineStr"/>
      <c r="M124" s="23" t="n"/>
    </row>
    <row r="125">
      <c r="A125" s="26" t="n">
        <v>56</v>
      </c>
      <c r="B125" s="23" t="inlineStr">
        <is>
          <t>2897691</t>
        </is>
      </c>
      <c r="C125" s="23" t="inlineStr">
        <is>
          <t>Switch Pressure</t>
        </is>
      </c>
      <c r="D125" s="23" t="inlineStr"/>
      <c r="E125" s="27" t="n"/>
      <c r="F125" s="9" t="n">
        <v>32147.7</v>
      </c>
      <c r="G125" s="9">
        <f>E125*F125</f>
        <v/>
      </c>
      <c r="H125" s="9" t="n">
        <v>27300</v>
      </c>
      <c r="I125" s="9">
        <f>E125*H125</f>
        <v/>
      </c>
      <c r="J125" s="23" t="inlineStr">
        <is>
          <t>derived_estimate</t>
        </is>
      </c>
      <c r="K125" s="23" t="inlineStr">
        <is>
          <t>Pressure switch — hydraulic system monitoring</t>
        </is>
      </c>
      <c r="L125" s="23" t="inlineStr"/>
      <c r="M125" s="23" t="n"/>
    </row>
    <row r="126">
      <c r="A126" s="26" t="n">
        <v>56</v>
      </c>
      <c r="B126" s="23" t="inlineStr">
        <is>
          <t>KIT3238528</t>
        </is>
      </c>
      <c r="C126" s="23" t="inlineStr">
        <is>
          <t>B Check Kit</t>
        </is>
      </c>
      <c r="D126" s="23" t="inlineStr">
        <is>
          <t>Numbers</t>
        </is>
      </c>
      <c r="E126" s="27" t="n">
        <v>1</v>
      </c>
      <c r="F126" s="9" t="n"/>
      <c r="G126" s="9">
        <f>E126*F126</f>
        <v/>
      </c>
      <c r="H126" s="9" t="n">
        <v>1500</v>
      </c>
      <c r="I126" s="9">
        <f>E126*H126</f>
        <v/>
      </c>
      <c r="J126" s="23" t="inlineStr">
        <is>
          <t>web_search</t>
        </is>
      </c>
      <c r="K126" s="23" t="inlineStr">
        <is>
          <t>B Check kit — routine maintenance components</t>
        </is>
      </c>
      <c r="L126" s="23" t="inlineStr"/>
      <c r="M126" s="23" t="n"/>
    </row>
    <row r="127">
      <c r="A127" s="26" t="n">
        <v>57</v>
      </c>
      <c r="B127" s="23" t="inlineStr">
        <is>
          <t>3875311</t>
        </is>
      </c>
      <c r="C127" s="23" t="inlineStr">
        <is>
          <t>Light Indicator</t>
        </is>
      </c>
      <c r="D127" s="23" t="inlineStr"/>
      <c r="E127" s="27" t="n"/>
      <c r="F127" s="9" t="n">
        <v>1668.46</v>
      </c>
      <c r="G127" s="9">
        <f>E127*F127</f>
        <v/>
      </c>
      <c r="H127" s="9" t="n">
        <v>1400</v>
      </c>
      <c r="I127" s="9">
        <f>E127*H127</f>
        <v/>
      </c>
      <c r="J127" s="23" t="inlineStr">
        <is>
          <t>derived_estimate</t>
        </is>
      </c>
      <c r="K127" s="23" t="inlineStr">
        <is>
          <t>Light indicator — status indication</t>
        </is>
      </c>
      <c r="L127" s="23" t="inlineStr"/>
      <c r="M127" s="23" t="n"/>
    </row>
    <row r="128">
      <c r="A128" s="26" t="n">
        <v>57</v>
      </c>
      <c r="B128" s="23" t="inlineStr">
        <is>
          <t>3167218</t>
        </is>
      </c>
      <c r="C128" s="23" t="inlineStr">
        <is>
          <t>Inhibitor, Corrosion</t>
        </is>
      </c>
      <c r="D128" s="23" t="inlineStr">
        <is>
          <t>Numbers</t>
        </is>
      </c>
      <c r="E128" s="27" t="n">
        <v>1</v>
      </c>
      <c r="F128" s="9" t="n"/>
      <c r="G128" s="9">
        <f>E128*F128</f>
        <v/>
      </c>
      <c r="H128" s="9" t="n">
        <v>4200</v>
      </c>
      <c r="I128" s="9">
        <f>E128*H128</f>
        <v/>
      </c>
      <c r="J128" s="23" t="inlineStr">
        <is>
          <t>derived_estimate</t>
        </is>
      </c>
      <c r="K128" s="23" t="inlineStr">
        <is>
          <t>Corrosion inhibitor — coolant additive</t>
        </is>
      </c>
      <c r="L128" s="23" t="inlineStr"/>
      <c r="M128" s="23" t="n"/>
    </row>
    <row r="129">
      <c r="A129" s="26" t="n">
        <v>58</v>
      </c>
      <c r="B129" s="23" t="inlineStr">
        <is>
          <t>AK16035SS</t>
        </is>
      </c>
      <c r="C129" s="23" t="inlineStr">
        <is>
          <t>Hose, Flexible</t>
        </is>
      </c>
      <c r="D129" s="23" t="inlineStr">
        <is>
          <t>Numbers</t>
        </is>
      </c>
      <c r="E129" s="27" t="n">
        <v>1</v>
      </c>
      <c r="F129" s="9" t="n"/>
      <c r="G129" s="9">
        <f>E129*F129</f>
        <v/>
      </c>
      <c r="H129" s="9" t="n">
        <v>5500</v>
      </c>
      <c r="I129" s="9">
        <f>E129*H129</f>
        <v/>
      </c>
      <c r="J129" s="23" t="inlineStr">
        <is>
          <t>derived_estimate</t>
        </is>
      </c>
      <c r="K129" s="23" t="inlineStr">
        <is>
          <t>Flexible hose (stainless steel) — hydraulic/coolant line</t>
        </is>
      </c>
      <c r="L129" s="23" t="inlineStr"/>
      <c r="M129" s="23" t="n"/>
    </row>
    <row r="130">
      <c r="A130" s="26" t="n">
        <v>58</v>
      </c>
      <c r="B130" s="23" t="inlineStr">
        <is>
          <t>504975</t>
        </is>
      </c>
      <c r="C130" s="23" t="inlineStr">
        <is>
          <t>Switch Key</t>
        </is>
      </c>
      <c r="D130" s="23" t="inlineStr"/>
      <c r="E130" s="27" t="n"/>
      <c r="F130" s="9" t="n">
        <v>1761.41</v>
      </c>
      <c r="G130" s="9">
        <f>E130*F130</f>
        <v/>
      </c>
      <c r="H130" s="9" t="n">
        <v>1500</v>
      </c>
      <c r="I130" s="9">
        <f>E130*H130</f>
        <v/>
      </c>
      <c r="J130" s="23" t="inlineStr">
        <is>
          <t>derived_estimate</t>
        </is>
      </c>
      <c r="K130" s="23" t="inlineStr">
        <is>
          <t>Key switch — ignition/control</t>
        </is>
      </c>
      <c r="L130" s="23" t="inlineStr"/>
      <c r="M130" s="23" t="n"/>
    </row>
    <row r="131">
      <c r="A131" s="26" t="n">
        <v>59</v>
      </c>
      <c r="B131" s="23" t="inlineStr">
        <is>
          <t>213273</t>
        </is>
      </c>
      <c r="C131" s="23" t="inlineStr">
        <is>
          <t>Harness Magnetic Pickup</t>
        </is>
      </c>
      <c r="D131" s="23" t="inlineStr"/>
      <c r="E131" s="27" t="n"/>
      <c r="F131" s="9" t="n">
        <v>6022.224</v>
      </c>
      <c r="G131" s="9">
        <f>E131*F131</f>
        <v/>
      </c>
      <c r="H131" s="9" t="n">
        <v>5100</v>
      </c>
      <c r="I131" s="9">
        <f>E131*H131</f>
        <v/>
      </c>
      <c r="J131" s="23" t="inlineStr">
        <is>
          <t>derived_estimate</t>
        </is>
      </c>
      <c r="K131" s="23" t="inlineStr">
        <is>
          <t>Magnetic pickup harness — engine speed sensing</t>
        </is>
      </c>
      <c r="L131" s="23" t="inlineStr"/>
      <c r="M131" s="23" t="n"/>
    </row>
    <row r="132">
      <c r="A132" s="26" t="n">
        <v>59</v>
      </c>
      <c r="B132" s="23" t="inlineStr">
        <is>
          <t>AK16030SS</t>
        </is>
      </c>
      <c r="C132" s="23" t="inlineStr">
        <is>
          <t>Hose, Flexible</t>
        </is>
      </c>
      <c r="D132" s="23" t="inlineStr">
        <is>
          <t>Numbers</t>
        </is>
      </c>
      <c r="E132" s="27" t="n">
        <v>1</v>
      </c>
      <c r="F132" s="9" t="n"/>
      <c r="G132" s="9">
        <f>E132*F132</f>
        <v/>
      </c>
      <c r="H132" s="9" t="n">
        <v>5500</v>
      </c>
      <c r="I132" s="9">
        <f>E132*H132</f>
        <v/>
      </c>
      <c r="J132" s="23" t="inlineStr">
        <is>
          <t>derived_estimate</t>
        </is>
      </c>
      <c r="K132" s="23" t="inlineStr">
        <is>
          <t>Flexible hose (stainless steel) — hydraulic/coolant line</t>
        </is>
      </c>
      <c r="L132" s="23" t="inlineStr"/>
      <c r="M132" s="23" t="n"/>
    </row>
    <row r="133">
      <c r="A133" s="26" t="n">
        <v>60</v>
      </c>
      <c r="B133" s="23" t="inlineStr">
        <is>
          <t>4084368</t>
        </is>
      </c>
      <c r="C133" s="23" t="inlineStr">
        <is>
          <t>Switch Fluid Level</t>
        </is>
      </c>
      <c r="D133" s="23" t="inlineStr"/>
      <c r="E133" s="27" t="n"/>
      <c r="F133" s="9" t="n">
        <v>29205.58</v>
      </c>
      <c r="G133" s="9">
        <f>E133*F133</f>
        <v/>
      </c>
      <c r="H133" s="9" t="n">
        <v>24800</v>
      </c>
      <c r="I133" s="9">
        <f>E133*H133</f>
        <v/>
      </c>
      <c r="J133" s="23" t="inlineStr">
        <is>
          <t>derived_estimate</t>
        </is>
      </c>
      <c r="K133" s="23" t="inlineStr">
        <is>
          <t>Fluid level switch — hydraulic/coolant level monitoring</t>
        </is>
      </c>
      <c r="L133" s="23" t="inlineStr"/>
      <c r="M133" s="23" t="n"/>
    </row>
    <row r="134">
      <c r="A134" s="26" t="n">
        <v>60</v>
      </c>
      <c r="B134" s="23" t="inlineStr">
        <is>
          <t>AK50405SS</t>
        </is>
      </c>
      <c r="C134" s="23" t="inlineStr">
        <is>
          <t>Hose, Flexible</t>
        </is>
      </c>
      <c r="D134" s="23" t="inlineStr">
        <is>
          <t>Numbers</t>
        </is>
      </c>
      <c r="E134" s="27" t="n">
        <v>2</v>
      </c>
      <c r="F134" s="9" t="n"/>
      <c r="G134" s="9">
        <f>E134*F134</f>
        <v/>
      </c>
      <c r="H134" s="9" t="n">
        <v>5500</v>
      </c>
      <c r="I134" s="9">
        <f>E134*H134</f>
        <v/>
      </c>
      <c r="J134" s="23" t="inlineStr">
        <is>
          <t>derived_estimate</t>
        </is>
      </c>
      <c r="K134" s="23" t="inlineStr">
        <is>
          <t>Flexible hoses (qty 2, stainless steel) — hydraulic/coolant lines</t>
        </is>
      </c>
      <c r="L134" s="23" t="inlineStr"/>
      <c r="M134" s="23" t="n"/>
    </row>
    <row r="135">
      <c r="A135" s="26" t="n">
        <v>61</v>
      </c>
      <c r="B135" s="23" t="inlineStr">
        <is>
          <t>AK60455SS</t>
        </is>
      </c>
      <c r="C135" s="23" t="inlineStr">
        <is>
          <t>Hose, Flexible</t>
        </is>
      </c>
      <c r="D135" s="23" t="inlineStr">
        <is>
          <t>Numbers</t>
        </is>
      </c>
      <c r="E135" s="27" t="n">
        <v>2</v>
      </c>
      <c r="F135" s="9" t="n"/>
      <c r="G135" s="9">
        <f>E135*F135</f>
        <v/>
      </c>
      <c r="H135" s="9" t="n">
        <v>4200</v>
      </c>
      <c r="I135" s="9">
        <f>E135*H135</f>
        <v/>
      </c>
      <c r="J135" s="23" t="inlineStr">
        <is>
          <t>derived_estimate</t>
        </is>
      </c>
      <c r="K135" s="23" t="inlineStr">
        <is>
          <t>Cummins AK60455SS flexible hose; qty 2</t>
        </is>
      </c>
      <c r="L135" s="23" t="inlineStr"/>
      <c r="M135" s="23" t="n"/>
    </row>
    <row r="136">
      <c r="A136" s="26" t="n">
        <v>61</v>
      </c>
      <c r="B136" s="23" t="inlineStr">
        <is>
          <t>4327027</t>
        </is>
      </c>
      <c r="C136" s="23" t="inlineStr">
        <is>
          <t>Switch Temperature</t>
        </is>
      </c>
      <c r="D136" s="23" t="inlineStr"/>
      <c r="E136" s="27" t="n"/>
      <c r="F136" s="9" t="n">
        <v>21857.7</v>
      </c>
      <c r="G136" s="9">
        <f>E136*F136</f>
        <v/>
      </c>
      <c r="H136" s="9" t="n">
        <v>17486</v>
      </c>
      <c r="I136" s="9">
        <f>E136*H136</f>
        <v/>
      </c>
      <c r="J136" s="23" t="inlineStr">
        <is>
          <t>derived_estimate</t>
        </is>
      </c>
      <c r="K136" s="23" t="inlineStr">
        <is>
          <t>Electrical switch component; cost stripped from tender benchmark</t>
        </is>
      </c>
      <c r="L136" s="23" t="inlineStr"/>
      <c r="M136" s="23" t="n"/>
    </row>
    <row r="137">
      <c r="A137" s="26" t="n">
        <v>62</v>
      </c>
      <c r="B137" s="23" t="inlineStr">
        <is>
          <t>AK40405SS</t>
        </is>
      </c>
      <c r="C137" s="23" t="inlineStr">
        <is>
          <t>Hose, Flexible</t>
        </is>
      </c>
      <c r="D137" s="23" t="inlineStr">
        <is>
          <t>Numbers</t>
        </is>
      </c>
      <c r="E137" s="27" t="n">
        <v>2</v>
      </c>
      <c r="F137" s="9" t="n"/>
      <c r="G137" s="9">
        <f>E137*F137</f>
        <v/>
      </c>
      <c r="H137" s="9" t="n">
        <v>4200</v>
      </c>
      <c r="I137" s="9">
        <f>E137*H137</f>
        <v/>
      </c>
      <c r="J137" s="23" t="inlineStr">
        <is>
          <t>derived_estimate</t>
        </is>
      </c>
      <c r="K137" s="23" t="inlineStr">
        <is>
          <t>Cummins AK40405SS flexible hose; qty 2</t>
        </is>
      </c>
      <c r="L137" s="23" t="inlineStr"/>
      <c r="M137" s="23" t="n"/>
    </row>
    <row r="138">
      <c r="A138" s="26" t="n">
        <v>62</v>
      </c>
      <c r="B138" s="23" t="inlineStr">
        <is>
          <t>4084367</t>
        </is>
      </c>
      <c r="C138" s="23" t="inlineStr">
        <is>
          <t>Switch Fluid Level</t>
        </is>
      </c>
      <c r="D138" s="23" t="inlineStr"/>
      <c r="E138" s="27" t="n"/>
      <c r="F138" s="9" t="n">
        <v>25846.08</v>
      </c>
      <c r="G138" s="9">
        <f>E138*F138</f>
        <v/>
      </c>
      <c r="H138" s="9" t="n">
        <v>20677</v>
      </c>
      <c r="I138" s="9">
        <f>E138*H138</f>
        <v/>
      </c>
      <c r="J138" s="23" t="inlineStr">
        <is>
          <t>derived_estimate</t>
        </is>
      </c>
      <c r="K138" s="23" t="inlineStr">
        <is>
          <t>Electrical switch component; cost stripped from tender benchmark</t>
        </is>
      </c>
      <c r="L138" s="23" t="inlineStr"/>
      <c r="M138" s="23" t="n"/>
    </row>
    <row r="139">
      <c r="A139" s="26" t="n">
        <v>63</v>
      </c>
      <c r="B139" s="23" t="inlineStr">
        <is>
          <t>4071835</t>
        </is>
      </c>
      <c r="C139" s="23" t="inlineStr">
        <is>
          <t>Sensor Pressure</t>
        </is>
      </c>
      <c r="D139" s="23" t="inlineStr"/>
      <c r="E139" s="27" t="n"/>
      <c r="F139" s="9" t="n">
        <v>9199.709999999999</v>
      </c>
      <c r="G139" s="9">
        <f>E139*F139</f>
        <v/>
      </c>
      <c r="H139" s="9" t="n">
        <v>7360</v>
      </c>
      <c r="I139" s="9">
        <f>E139*H139</f>
        <v/>
      </c>
      <c r="J139" s="23" t="inlineStr">
        <is>
          <t>derived_estimate</t>
        </is>
      </c>
      <c r="K139" s="23" t="inlineStr">
        <is>
          <t>Pressure sensor component; cost stripped from tender benchmark</t>
        </is>
      </c>
      <c r="L139" s="23" t="inlineStr"/>
      <c r="M139" s="23" t="n"/>
    </row>
    <row r="140">
      <c r="A140" s="26" t="n">
        <v>63</v>
      </c>
      <c r="B140" s="23" t="inlineStr">
        <is>
          <t>AK80755SS</t>
        </is>
      </c>
      <c r="C140" s="23" t="inlineStr">
        <is>
          <t>Hose, Flexible</t>
        </is>
      </c>
      <c r="D140" s="23" t="inlineStr">
        <is>
          <t>Numbers</t>
        </is>
      </c>
      <c r="E140" s="27" t="n">
        <v>1</v>
      </c>
      <c r="F140" s="9" t="n"/>
      <c r="G140" s="9">
        <f>E140*F140</f>
        <v/>
      </c>
      <c r="H140" s="9" t="n">
        <v>4200</v>
      </c>
      <c r="I140" s="9">
        <f>E140*H140</f>
        <v/>
      </c>
      <c r="J140" s="23" t="inlineStr">
        <is>
          <t>derived_estimate</t>
        </is>
      </c>
      <c r="K140" s="23" t="inlineStr">
        <is>
          <t>Cummins AK80755SS flexible hose; qty 1</t>
        </is>
      </c>
      <c r="L140" s="23" t="inlineStr"/>
      <c r="M140" s="23" t="n"/>
    </row>
    <row r="141">
      <c r="A141" s="26" t="n">
        <v>64</v>
      </c>
      <c r="B141" s="23" t="inlineStr">
        <is>
          <t>4071834</t>
        </is>
      </c>
      <c r="C141" s="23" t="inlineStr">
        <is>
          <t>Sensor Temperature</t>
        </is>
      </c>
      <c r="D141" s="23" t="inlineStr"/>
      <c r="E141" s="27" t="n"/>
      <c r="F141" s="9" t="n">
        <v>7579.96</v>
      </c>
      <c r="G141" s="9">
        <f>E141*F141</f>
        <v/>
      </c>
      <c r="H141" s="9" t="n">
        <v>6064</v>
      </c>
      <c r="I141" s="9">
        <f>E141*H141</f>
        <v/>
      </c>
      <c r="J141" s="23" t="inlineStr">
        <is>
          <t>derived_estimate</t>
        </is>
      </c>
      <c r="K141" s="23" t="inlineStr">
        <is>
          <t>Temperature sensor component; cost stripped from tender benchmark</t>
        </is>
      </c>
      <c r="L141" s="23" t="inlineStr"/>
      <c r="M141" s="23" t="n"/>
    </row>
    <row r="142">
      <c r="A142" s="26" t="n">
        <v>64</v>
      </c>
      <c r="B142" s="23" t="inlineStr">
        <is>
          <t>154087</t>
        </is>
      </c>
      <c r="C142" s="23" t="inlineStr">
        <is>
          <t>Seal, Rectangular Ring</t>
        </is>
      </c>
      <c r="D142" s="23" t="inlineStr">
        <is>
          <t>Numbers</t>
        </is>
      </c>
      <c r="E142" s="27" t="n">
        <v>2</v>
      </c>
      <c r="F142" s="9" t="n"/>
      <c r="G142" s="9">
        <f>E142*F142</f>
        <v/>
      </c>
      <c r="H142" s="9" t="n">
        <v>850</v>
      </c>
      <c r="I142" s="9">
        <f>E142*H142</f>
        <v/>
      </c>
      <c r="J142" s="23" t="inlineStr">
        <is>
          <t>derived_estimate</t>
        </is>
      </c>
      <c r="K142" s="23" t="inlineStr">
        <is>
          <t>Rectangular ring seal; qty 2</t>
        </is>
      </c>
      <c r="L142" s="23" t="inlineStr"/>
      <c r="M142" s="23" t="n"/>
    </row>
    <row r="143">
      <c r="A143" s="26" t="n">
        <v>65</v>
      </c>
      <c r="B143" s="23" t="inlineStr">
        <is>
          <t>4053654</t>
        </is>
      </c>
      <c r="C143" s="23" t="inlineStr">
        <is>
          <t>Switch Relay</t>
        </is>
      </c>
      <c r="D143" s="23" t="inlineStr"/>
      <c r="E143" s="27" t="n"/>
      <c r="F143" s="9" t="n">
        <v>20876.27</v>
      </c>
      <c r="G143" s="9">
        <f>E143*F143</f>
        <v/>
      </c>
      <c r="H143" s="9" t="n">
        <v>16701</v>
      </c>
      <c r="I143" s="9">
        <f>E143*H143</f>
        <v/>
      </c>
      <c r="J143" s="23" t="inlineStr">
        <is>
          <t>derived_estimate</t>
        </is>
      </c>
      <c r="K143" s="23" t="inlineStr">
        <is>
          <t>Relay switch component; cost stripped from tender benchmark</t>
        </is>
      </c>
      <c r="L143" s="23" t="inlineStr"/>
      <c r="M143" s="23" t="n"/>
    </row>
    <row r="144">
      <c r="A144" s="26" t="n">
        <v>65</v>
      </c>
      <c r="B144" s="23" t="inlineStr">
        <is>
          <t>3030790</t>
        </is>
      </c>
      <c r="C144" s="23" t="inlineStr">
        <is>
          <t>Hose, Hump</t>
        </is>
      </c>
      <c r="D144" s="23" t="inlineStr">
        <is>
          <t>Numbers</t>
        </is>
      </c>
      <c r="E144" s="27" t="n">
        <v>1</v>
      </c>
      <c r="F144" s="9" t="n"/>
      <c r="G144" s="9">
        <f>E144*F144</f>
        <v/>
      </c>
      <c r="H144" s="9" t="n">
        <v>3800</v>
      </c>
      <c r="I144" s="9">
        <f>E144*H144</f>
        <v/>
      </c>
      <c r="J144" s="23" t="inlineStr">
        <is>
          <t>derived_estimate</t>
        </is>
      </c>
      <c r="K144" s="23" t="inlineStr">
        <is>
          <t>Cummins hump hose; qty 1</t>
        </is>
      </c>
      <c r="L144" s="23" t="inlineStr"/>
      <c r="M144" s="23" t="n"/>
    </row>
    <row r="145">
      <c r="A145" s="26" t="n">
        <v>66</v>
      </c>
      <c r="B145" s="23" t="inlineStr">
        <is>
          <t>3030514</t>
        </is>
      </c>
      <c r="C145" s="23" t="inlineStr">
        <is>
          <t>Hose, Elbow</t>
        </is>
      </c>
      <c r="D145" s="23" t="inlineStr">
        <is>
          <t>Numbers</t>
        </is>
      </c>
      <c r="E145" s="27" t="n">
        <v>2</v>
      </c>
      <c r="F145" s="9" t="n"/>
      <c r="G145" s="9">
        <f>E145*F145</f>
        <v/>
      </c>
      <c r="H145" s="9" t="n">
        <v>3500</v>
      </c>
      <c r="I145" s="9">
        <f>E145*H145</f>
        <v/>
      </c>
      <c r="J145" s="23" t="inlineStr">
        <is>
          <t>derived_estimate</t>
        </is>
      </c>
      <c r="K145" s="23" t="inlineStr">
        <is>
          <t>Cummins elbow hose; qty 2</t>
        </is>
      </c>
      <c r="L145" s="23" t="inlineStr"/>
      <c r="M145" s="23" t="n"/>
    </row>
    <row r="146">
      <c r="A146" s="26" t="n">
        <v>66</v>
      </c>
      <c r="B146" s="23" t="inlineStr">
        <is>
          <t>5559512</t>
        </is>
      </c>
      <c r="C146" s="23" t="inlineStr">
        <is>
          <t>Ammeter</t>
        </is>
      </c>
      <c r="D146" s="23" t="inlineStr"/>
      <c r="E146" s="27" t="n"/>
      <c r="F146" s="9" t="n">
        <v>6158.06</v>
      </c>
      <c r="G146" s="9">
        <f>E146*F146</f>
        <v/>
      </c>
      <c r="H146" s="9" t="n">
        <v>4926</v>
      </c>
      <c r="I146" s="9">
        <f>E146*H146</f>
        <v/>
      </c>
      <c r="J146" s="23" t="inlineStr">
        <is>
          <t>derived_estimate</t>
        </is>
      </c>
      <c r="K146" s="23" t="inlineStr">
        <is>
          <t>Ammeter instrument; cost stripped from tender benchmark</t>
        </is>
      </c>
      <c r="L146" s="23" t="inlineStr"/>
      <c r="M146" s="23" t="n"/>
    </row>
    <row r="147">
      <c r="A147" s="26" t="n">
        <v>67</v>
      </c>
      <c r="B147" s="23" t="inlineStr">
        <is>
          <t>500287</t>
        </is>
      </c>
      <c r="C147" s="23" t="inlineStr">
        <is>
          <t>Overspeed Stop</t>
        </is>
      </c>
      <c r="D147" s="23" t="inlineStr"/>
      <c r="E147" s="27" t="n"/>
      <c r="F147" s="9" t="n">
        <v>21856.48</v>
      </c>
      <c r="G147" s="9">
        <f>E147*F147</f>
        <v/>
      </c>
      <c r="H147" s="9" t="n">
        <v>17485</v>
      </c>
      <c r="I147" s="9">
        <f>E147*H147</f>
        <v/>
      </c>
      <c r="J147" s="23" t="inlineStr">
        <is>
          <t>derived_estimate</t>
        </is>
      </c>
      <c r="K147" s="23" t="inlineStr">
        <is>
          <t>Overspeed protection component; cost stripped from tender benchmark</t>
        </is>
      </c>
      <c r="L147" s="23" t="inlineStr"/>
      <c r="M147" s="23" t="n"/>
    </row>
    <row r="148">
      <c r="A148" s="26" t="n">
        <v>67</v>
      </c>
      <c r="B148" s="23" t="inlineStr">
        <is>
          <t>125741</t>
        </is>
      </c>
      <c r="C148" s="23" t="inlineStr">
        <is>
          <t>Clamp, T Bolt</t>
        </is>
      </c>
      <c r="D148" s="23" t="inlineStr">
        <is>
          <t>Numbers</t>
        </is>
      </c>
      <c r="E148" s="27" t="n">
        <v>4</v>
      </c>
      <c r="F148" s="9" t="n"/>
      <c r="G148" s="9">
        <f>E148*F148</f>
        <v/>
      </c>
      <c r="H148" s="9" t="n">
        <v>280</v>
      </c>
      <c r="I148" s="9">
        <f>E148*H148</f>
        <v/>
      </c>
      <c r="J148" s="23" t="inlineStr">
        <is>
          <t>derived_estimate</t>
        </is>
      </c>
      <c r="K148" s="23" t="inlineStr">
        <is>
          <t>T-bolt clamp; qty 4</t>
        </is>
      </c>
      <c r="L148" s="23" t="inlineStr"/>
      <c r="M148" s="23" t="n"/>
    </row>
    <row r="149">
      <c r="A149" s="26" t="n">
        <v>68</v>
      </c>
      <c r="B149" s="23" t="inlineStr">
        <is>
          <t>140314</t>
        </is>
      </c>
      <c r="C149" s="23" t="inlineStr">
        <is>
          <t>Clamp, T Bolt</t>
        </is>
      </c>
      <c r="D149" s="23" t="inlineStr">
        <is>
          <t>Numbers</t>
        </is>
      </c>
      <c r="E149" s="27" t="n">
        <v>4</v>
      </c>
      <c r="F149" s="9" t="n"/>
      <c r="G149" s="9">
        <f>E149*F149</f>
        <v/>
      </c>
      <c r="H149" s="9" t="n">
        <v>280</v>
      </c>
      <c r="I149" s="9">
        <f>E149*H149</f>
        <v/>
      </c>
      <c r="J149" s="23" t="inlineStr">
        <is>
          <t>derived_estimate</t>
        </is>
      </c>
      <c r="K149" s="23" t="inlineStr">
        <is>
          <t>T-bolt clamp; qty 4</t>
        </is>
      </c>
      <c r="L149" s="23" t="inlineStr"/>
      <c r="M149" s="23" t="n"/>
    </row>
    <row r="150">
      <c r="A150" s="26" t="n">
        <v>68</v>
      </c>
      <c r="B150" s="23" t="inlineStr">
        <is>
          <t>AX1017196</t>
        </is>
      </c>
      <c r="C150" s="23" t="inlineStr">
        <is>
          <t>Fuses</t>
        </is>
      </c>
      <c r="D150" s="23" t="inlineStr"/>
      <c r="E150" s="27" t="n"/>
      <c r="F150" s="9" t="n">
        <v>29467.7</v>
      </c>
      <c r="G150" s="9">
        <f>E150*F150</f>
        <v/>
      </c>
      <c r="H150" s="9" t="n">
        <v>23574</v>
      </c>
      <c r="I150" s="9">
        <f>E150*H150</f>
        <v/>
      </c>
      <c r="J150" s="23" t="inlineStr">
        <is>
          <t>derived_estimate</t>
        </is>
      </c>
      <c r="K150" s="23" t="inlineStr">
        <is>
          <t>Electrical fuses; cost stripped from tender benchmark</t>
        </is>
      </c>
      <c r="L150" s="23" t="inlineStr"/>
      <c r="M150" s="23" t="n"/>
    </row>
    <row r="151">
      <c r="A151" s="26" t="n">
        <v>69</v>
      </c>
      <c r="B151" s="23" t="inlineStr">
        <is>
          <t>AX1017197</t>
        </is>
      </c>
      <c r="C151" s="23" t="inlineStr">
        <is>
          <t>Air Flow Relay</t>
        </is>
      </c>
      <c r="D151" s="23" t="inlineStr"/>
      <c r="E151" s="27" t="n"/>
      <c r="F151" s="9" t="n">
        <v>44727.73</v>
      </c>
      <c r="G151" s="9">
        <f>E151*F151</f>
        <v/>
      </c>
      <c r="H151" s="9" t="n">
        <v>35782</v>
      </c>
      <c r="I151" s="9">
        <f>E151*H151</f>
        <v/>
      </c>
      <c r="J151" s="23" t="inlineStr">
        <is>
          <t>derived_estimate</t>
        </is>
      </c>
      <c r="K151" s="23" t="inlineStr">
        <is>
          <t>Air flow relay component; cost stripped from tender benchmark</t>
        </is>
      </c>
      <c r="L151" s="23" t="inlineStr"/>
      <c r="M151" s="23" t="n"/>
    </row>
    <row r="152">
      <c r="A152" s="26" t="n">
        <v>69</v>
      </c>
      <c r="B152" s="23" t="inlineStr">
        <is>
          <t>3026832</t>
        </is>
      </c>
      <c r="C152" s="23" t="inlineStr">
        <is>
          <t>Hose, Flexible</t>
        </is>
      </c>
      <c r="D152" s="23" t="inlineStr">
        <is>
          <t>Numbers</t>
        </is>
      </c>
      <c r="E152" s="27" t="n">
        <v>2</v>
      </c>
      <c r="F152" s="9" t="n"/>
      <c r="G152" s="9">
        <f>E152*F152</f>
        <v/>
      </c>
      <c r="H152" s="9" t="n">
        <v>4200</v>
      </c>
      <c r="I152" s="9">
        <f>E152*H152</f>
        <v/>
      </c>
      <c r="J152" s="23" t="inlineStr">
        <is>
          <t>derived_estimate</t>
        </is>
      </c>
      <c r="K152" s="23" t="inlineStr">
        <is>
          <t>Cummins flexible hose; qty 2</t>
        </is>
      </c>
      <c r="L152" s="23" t="inlineStr"/>
      <c r="M152" s="23" t="n"/>
    </row>
    <row r="153">
      <c r="A153" s="26" t="n">
        <v>70</v>
      </c>
      <c r="B153" s="23" t="inlineStr">
        <is>
          <t>AX1017065</t>
        </is>
      </c>
      <c r="C153" s="23" t="inlineStr">
        <is>
          <t>Field Fuse</t>
        </is>
      </c>
      <c r="D153" s="23" t="inlineStr"/>
      <c r="E153" s="27" t="n"/>
      <c r="F153" s="9" t="n">
        <v>1710.187</v>
      </c>
      <c r="G153" s="9">
        <f>E153*F153</f>
        <v/>
      </c>
      <c r="H153" s="9" t="n">
        <v>1368</v>
      </c>
      <c r="I153" s="9">
        <f>E153*H153</f>
        <v/>
      </c>
      <c r="J153" s="23" t="inlineStr">
        <is>
          <t>derived_estimate</t>
        </is>
      </c>
      <c r="K153" s="23" t="inlineStr">
        <is>
          <t>Field fuse component; cost stripped from tender benchmark</t>
        </is>
      </c>
      <c r="L153" s="23" t="inlineStr"/>
      <c r="M153" s="23" t="n"/>
    </row>
    <row r="154">
      <c r="A154" s="26" t="n">
        <v>70</v>
      </c>
      <c r="B154" s="23" t="inlineStr">
        <is>
          <t>3081053</t>
        </is>
      </c>
      <c r="C154" s="23" t="inlineStr">
        <is>
          <t>Hose, Plain</t>
        </is>
      </c>
      <c r="D154" s="23" t="inlineStr">
        <is>
          <t>Numbers</t>
        </is>
      </c>
      <c r="E154" s="27" t="n">
        <v>2</v>
      </c>
      <c r="F154" s="9" t="n"/>
      <c r="G154" s="9">
        <f>E154*F154</f>
        <v/>
      </c>
      <c r="H154" s="9" t="n">
        <v>3500</v>
      </c>
      <c r="I154" s="9">
        <f>E154*H154</f>
        <v/>
      </c>
      <c r="J154" s="23" t="inlineStr">
        <is>
          <t>derived_estimate</t>
        </is>
      </c>
      <c r="K154" s="23" t="inlineStr">
        <is>
          <t>Cummins plain hose; qty 2</t>
        </is>
      </c>
      <c r="L154" s="23" t="inlineStr"/>
      <c r="M154" s="23" t="n"/>
    </row>
    <row r="155">
      <c r="A155" s="26" t="n">
        <v>71</v>
      </c>
      <c r="B155" s="23" t="inlineStr">
        <is>
          <t>255180</t>
        </is>
      </c>
      <c r="C155" s="23" t="inlineStr">
        <is>
          <t>Breather, Crankcase</t>
        </is>
      </c>
      <c r="D155" s="23" t="inlineStr">
        <is>
          <t>Numbers</t>
        </is>
      </c>
      <c r="E155" s="27" t="n">
        <v>2</v>
      </c>
      <c r="F155" s="9" t="n"/>
      <c r="G155" s="9">
        <f>E155*F155</f>
        <v/>
      </c>
      <c r="H155" s="9" t="n">
        <v>1200</v>
      </c>
      <c r="I155" s="9">
        <f>E155*H155</f>
        <v/>
      </c>
      <c r="J155" s="23" t="inlineStr">
        <is>
          <t>derived_estimate</t>
        </is>
      </c>
      <c r="K155" s="23" t="inlineStr">
        <is>
          <t>Crankcase breather; qty 2</t>
        </is>
      </c>
      <c r="L155" s="23" t="inlineStr"/>
      <c r="M155" s="23" t="n"/>
    </row>
    <row r="156">
      <c r="A156" s="26" t="n">
        <v>71</v>
      </c>
      <c r="B156" s="23" t="inlineStr">
        <is>
          <t>AX1017067</t>
        </is>
      </c>
      <c r="C156" s="23" t="inlineStr">
        <is>
          <t>Magnetic Amplifier</t>
        </is>
      </c>
      <c r="D156" s="23" t="inlineStr"/>
      <c r="E156" s="27" t="n"/>
      <c r="F156" s="9" t="n">
        <v>160020</v>
      </c>
      <c r="G156" s="9">
        <f>E156*F156</f>
        <v/>
      </c>
      <c r="H156" s="9" t="n">
        <v>128016</v>
      </c>
      <c r="I156" s="9">
        <f>E156*H156</f>
        <v/>
      </c>
      <c r="J156" s="23" t="inlineStr">
        <is>
          <t>derived_estimate</t>
        </is>
      </c>
      <c r="K156" s="23" t="inlineStr">
        <is>
          <t>Magnetic amplifier component; cost stripped from tender benchmark</t>
        </is>
      </c>
      <c r="L156" s="23" t="inlineStr"/>
      <c r="M156" s="23" t="n"/>
    </row>
    <row r="157">
      <c r="A157" s="26" t="n">
        <v>72</v>
      </c>
      <c r="B157" s="23" t="inlineStr">
        <is>
          <t>AX1017079</t>
        </is>
      </c>
      <c r="C157" s="23" t="inlineStr">
        <is>
          <t>Latching Type OVP</t>
        </is>
      </c>
      <c r="D157" s="23" t="inlineStr"/>
      <c r="E157" s="27" t="n"/>
      <c r="F157" s="9" t="n">
        <v>95333.91</v>
      </c>
      <c r="G157" s="9">
        <f>E157*F157</f>
        <v/>
      </c>
      <c r="H157" s="9" t="n">
        <v>76267</v>
      </c>
      <c r="I157" s="9">
        <f>E157*H157</f>
        <v/>
      </c>
      <c r="J157" s="23" t="inlineStr">
        <is>
          <t>derived_estimate</t>
        </is>
      </c>
      <c r="K157" s="23" t="inlineStr">
        <is>
          <t>Overvoltage protection component; cost stripped from tender benchmark</t>
        </is>
      </c>
      <c r="L157" s="23" t="inlineStr"/>
      <c r="M157" s="23" t="n"/>
    </row>
    <row r="158">
      <c r="A158" s="26" t="n">
        <v>72</v>
      </c>
      <c r="B158" s="23" t="inlineStr">
        <is>
          <t>3872813</t>
        </is>
      </c>
      <c r="C158" s="23" t="inlineStr">
        <is>
          <t>Indicator, Restriction</t>
        </is>
      </c>
      <c r="D158" s="23" t="inlineStr">
        <is>
          <t>Numbers</t>
        </is>
      </c>
      <c r="E158" s="27" t="n">
        <v>2</v>
      </c>
      <c r="F158" s="9" t="n"/>
      <c r="G158" s="9">
        <f>E158*F158</f>
        <v/>
      </c>
      <c r="H158" s="9" t="n">
        <v>1200</v>
      </c>
      <c r="I158" s="9">
        <f>E158*H158</f>
        <v/>
      </c>
      <c r="J158" s="23" t="inlineStr">
        <is>
          <t>derived_estimate</t>
        </is>
      </c>
      <c r="K158" s="23" t="inlineStr">
        <is>
          <t>Restriction indicator; qty 2</t>
        </is>
      </c>
      <c r="L158" s="23" t="inlineStr"/>
      <c r="M158" s="23" t="n"/>
    </row>
    <row r="159">
      <c r="A159" s="26" t="n">
        <v>73</v>
      </c>
      <c r="B159" s="23" t="inlineStr">
        <is>
          <t>AK10035SS</t>
        </is>
      </c>
      <c r="C159" s="23" t="inlineStr">
        <is>
          <t>Hose, Flexible</t>
        </is>
      </c>
      <c r="D159" s="23" t="inlineStr">
        <is>
          <t>Numbers</t>
        </is>
      </c>
      <c r="E159" s="27" t="n">
        <v>1</v>
      </c>
      <c r="F159" s="9" t="n"/>
      <c r="G159" s="9">
        <f>E159*F159</f>
        <v/>
      </c>
      <c r="H159" s="9" t="n">
        <v>4200</v>
      </c>
      <c r="I159" s="9">
        <f>E159*H159</f>
        <v/>
      </c>
      <c r="J159" s="23" t="inlineStr">
        <is>
          <t>derived_estimate</t>
        </is>
      </c>
      <c r="K159" s="23" t="inlineStr">
        <is>
          <t>Cummins flexible hose; qty 1</t>
        </is>
      </c>
      <c r="L159" s="23" t="inlineStr"/>
      <c r="M159" s="23" t="n"/>
    </row>
    <row r="160">
      <c r="A160" s="26" t="n">
        <v>73</v>
      </c>
      <c r="B160" s="23" t="inlineStr">
        <is>
          <t>AX1017137</t>
        </is>
      </c>
      <c r="C160" s="23" t="inlineStr">
        <is>
          <t>Load Ammeter</t>
        </is>
      </c>
      <c r="D160" s="23" t="inlineStr"/>
      <c r="E160" s="27" t="n"/>
      <c r="F160" s="9" t="n">
        <v>23252.04</v>
      </c>
      <c r="G160" s="9">
        <f>E160*F160</f>
        <v/>
      </c>
      <c r="H160" s="9" t="n">
        <v>18602</v>
      </c>
      <c r="I160" s="9">
        <f>E160*H160</f>
        <v/>
      </c>
      <c r="J160" s="23" t="inlineStr">
        <is>
          <t>derived_estimate</t>
        </is>
      </c>
      <c r="K160" s="23" t="inlineStr">
        <is>
          <t>Load ammeter instrument; cost stripped from tender benchmark</t>
        </is>
      </c>
      <c r="L160" s="23" t="inlineStr"/>
      <c r="M160" s="23" t="n"/>
    </row>
    <row r="161">
      <c r="A161" s="26" t="n">
        <v>74</v>
      </c>
      <c r="B161" s="23" t="inlineStr">
        <is>
          <t>AX1017145</t>
        </is>
      </c>
      <c r="C161" s="23" t="inlineStr">
        <is>
          <t>Load Ammeter Selector Switch</t>
        </is>
      </c>
      <c r="D161" s="23" t="inlineStr"/>
      <c r="E161" s="27" t="n"/>
      <c r="F161" s="9" t="n">
        <v>3238.794</v>
      </c>
      <c r="G161" s="9">
        <f>E161*F161</f>
        <v/>
      </c>
      <c r="H161" s="9" t="n">
        <v>2591</v>
      </c>
      <c r="I161" s="9">
        <f>E161*H161</f>
        <v/>
      </c>
      <c r="J161" s="23" t="inlineStr">
        <is>
          <t>derived_estimate</t>
        </is>
      </c>
      <c r="K161" s="23" t="inlineStr">
        <is>
          <t>Ammeter selector switch; cost stripped from tender benchmark</t>
        </is>
      </c>
      <c r="L161" s="23" t="inlineStr"/>
      <c r="M161" s="23" t="n"/>
    </row>
    <row r="162">
      <c r="A162" s="26" t="n">
        <v>74</v>
      </c>
      <c r="B162" s="23" t="inlineStr">
        <is>
          <t>AK10050SS</t>
        </is>
      </c>
      <c r="C162" s="23" t="inlineStr">
        <is>
          <t>Hose, Flexible</t>
        </is>
      </c>
      <c r="D162" s="23" t="inlineStr">
        <is>
          <t>Numbers</t>
        </is>
      </c>
      <c r="E162" s="27" t="n">
        <v>1</v>
      </c>
      <c r="F162" s="9" t="n"/>
      <c r="G162" s="9">
        <f>E162*F162</f>
        <v/>
      </c>
      <c r="H162" s="9" t="n">
        <v>4200</v>
      </c>
      <c r="I162" s="9">
        <f>E162*H162</f>
        <v/>
      </c>
      <c r="J162" s="23" t="inlineStr">
        <is>
          <t>derived_estimate</t>
        </is>
      </c>
      <c r="K162" s="23" t="inlineStr">
        <is>
          <t>Cummins flexible hose; qty 1</t>
        </is>
      </c>
      <c r="L162" s="23" t="inlineStr"/>
      <c r="M162" s="23" t="n"/>
    </row>
    <row r="163">
      <c r="A163" s="26" t="n">
        <v>75</v>
      </c>
      <c r="B163" s="23" t="inlineStr">
        <is>
          <t>AX1017180</t>
        </is>
      </c>
      <c r="C163" s="23" t="inlineStr">
        <is>
          <t>Pilot Lamp 24V</t>
        </is>
      </c>
      <c r="D163" s="23" t="inlineStr"/>
      <c r="E163" s="27" t="n"/>
      <c r="F163" s="9" t="n">
        <v>2130.777</v>
      </c>
      <c r="G163" s="9">
        <f>E163*F163</f>
        <v/>
      </c>
      <c r="H163" s="9" t="n">
        <v>1705</v>
      </c>
      <c r="I163" s="9">
        <f>E163*H163</f>
        <v/>
      </c>
      <c r="J163" s="23" t="inlineStr">
        <is>
          <t>derived_estimate</t>
        </is>
      </c>
      <c r="K163" s="23" t="inlineStr">
        <is>
          <t>Pilot lamp 24V; cost stripped from tender benchmark</t>
        </is>
      </c>
      <c r="L163" s="23" t="inlineStr"/>
      <c r="M163" s="23" t="n"/>
    </row>
    <row r="164">
      <c r="A164" s="26" t="n">
        <v>75</v>
      </c>
      <c r="B164" s="23" t="inlineStr">
        <is>
          <t>AK80605SS</t>
        </is>
      </c>
      <c r="C164" s="23" t="inlineStr">
        <is>
          <t>Hose, Flexible</t>
        </is>
      </c>
      <c r="D164" s="23" t="inlineStr">
        <is>
          <t>Numbers</t>
        </is>
      </c>
      <c r="E164" s="27" t="n">
        <v>1</v>
      </c>
      <c r="F164" s="9" t="n"/>
      <c r="G164" s="9">
        <f>E164*F164</f>
        <v/>
      </c>
      <c r="H164" s="9" t="n">
        <v>4200</v>
      </c>
      <c r="I164" s="9">
        <f>E164*H164</f>
        <v/>
      </c>
      <c r="J164" s="23" t="inlineStr">
        <is>
          <t>derived_estimate</t>
        </is>
      </c>
      <c r="K164" s="23" t="inlineStr">
        <is>
          <t>Cummins flexible hose; qty 1</t>
        </is>
      </c>
      <c r="L164" s="23" t="inlineStr"/>
      <c r="M164" s="23" t="n"/>
    </row>
    <row r="165">
      <c r="A165" s="26" t="n">
        <v>76</v>
      </c>
      <c r="B165" s="23" t="inlineStr">
        <is>
          <t>AX1017182</t>
        </is>
      </c>
      <c r="C165" s="23" t="inlineStr">
        <is>
          <t>CP Contactors</t>
        </is>
      </c>
      <c r="D165" s="23" t="inlineStr"/>
      <c r="E165" s="27" t="n"/>
      <c r="F165" s="9" t="n">
        <v>17256.7</v>
      </c>
      <c r="G165" s="9">
        <f>E165*F165</f>
        <v/>
      </c>
      <c r="H165" s="9" t="n">
        <v>13805</v>
      </c>
      <c r="I165" s="9">
        <f>E165*H165</f>
        <v/>
      </c>
      <c r="J165" s="23" t="inlineStr">
        <is>
          <t>derived_estimate</t>
        </is>
      </c>
      <c r="K165" s="23" t="inlineStr">
        <is>
          <t>Contactor component; cost stripped from tender benchmark</t>
        </is>
      </c>
      <c r="L165" s="23" t="inlineStr"/>
      <c r="M165" s="23" t="n"/>
    </row>
    <row r="166">
      <c r="A166" s="26" t="n">
        <v>76</v>
      </c>
      <c r="B166" s="23" t="inlineStr">
        <is>
          <t>AK60255SS</t>
        </is>
      </c>
      <c r="C166" s="23" t="inlineStr">
        <is>
          <t>Hose, Flexible</t>
        </is>
      </c>
      <c r="D166" s="23" t="inlineStr">
        <is>
          <t>Numbers</t>
        </is>
      </c>
      <c r="E166" s="27" t="n">
        <v>1</v>
      </c>
      <c r="F166" s="9" t="n"/>
      <c r="G166" s="9">
        <f>E166*F166</f>
        <v/>
      </c>
      <c r="H166" s="9" t="n">
        <v>4200</v>
      </c>
      <c r="I166" s="9">
        <f>E166*H166</f>
        <v/>
      </c>
      <c r="J166" s="23" t="inlineStr">
        <is>
          <t>derived_estimate</t>
        </is>
      </c>
      <c r="K166" s="23" t="inlineStr">
        <is>
          <t>Cummins flexible hose; qty 1</t>
        </is>
      </c>
      <c r="L166" s="23" t="inlineStr"/>
      <c r="M166" s="23" t="n"/>
    </row>
    <row r="167">
      <c r="A167" s="26" t="n">
        <v>77</v>
      </c>
      <c r="B167" s="23" t="inlineStr">
        <is>
          <t>AX1017184</t>
        </is>
      </c>
      <c r="C167" s="23" t="inlineStr">
        <is>
          <t>Motor Over Load Relay</t>
        </is>
      </c>
      <c r="D167" s="23" t="inlineStr"/>
      <c r="E167" s="27" t="n"/>
      <c r="F167" s="9" t="n">
        <v>180686.5</v>
      </c>
      <c r="G167" s="9">
        <f>E167*F167</f>
        <v/>
      </c>
      <c r="H167" s="9" t="n">
        <v>144549</v>
      </c>
      <c r="I167" s="9">
        <f>E167*H167</f>
        <v/>
      </c>
      <c r="J167" s="23" t="inlineStr">
        <is>
          <t>derived_estimate</t>
        </is>
      </c>
      <c r="K167" s="23" t="inlineStr">
        <is>
          <t>Motor overload relay; cost stripped from tender benchmark</t>
        </is>
      </c>
      <c r="L167" s="23" t="inlineStr"/>
      <c r="M167" s="23" t="n"/>
    </row>
    <row r="168">
      <c r="A168" s="26" t="n">
        <v>77</v>
      </c>
      <c r="B168" s="23" t="inlineStr">
        <is>
          <t>AK60505MS</t>
        </is>
      </c>
      <c r="C168" s="23" t="inlineStr">
        <is>
          <t>Hose, Flexible</t>
        </is>
      </c>
      <c r="D168" s="23" t="inlineStr">
        <is>
          <t>Numbers</t>
        </is>
      </c>
      <c r="E168" s="27" t="n">
        <v>1</v>
      </c>
      <c r="F168" s="9" t="n"/>
      <c r="G168" s="9">
        <f>E168*F168</f>
        <v/>
      </c>
      <c r="H168" s="9" t="n">
        <v>4200</v>
      </c>
      <c r="I168" s="9">
        <f>E168*H168</f>
        <v/>
      </c>
      <c r="J168" s="23" t="inlineStr">
        <is>
          <t>derived_estimate</t>
        </is>
      </c>
      <c r="K168" s="23" t="inlineStr">
        <is>
          <t>Cummins flexible hose; qty 1</t>
        </is>
      </c>
      <c r="L168" s="23" t="inlineStr"/>
      <c r="M168" s="23" t="n"/>
    </row>
    <row r="169">
      <c r="A169" s="26" t="n">
        <v>78</v>
      </c>
      <c r="B169" s="23" t="inlineStr">
        <is>
          <t>3030768</t>
        </is>
      </c>
      <c r="C169" s="23" t="inlineStr">
        <is>
          <t>Hose, Hump</t>
        </is>
      </c>
      <c r="D169" s="23" t="inlineStr">
        <is>
          <t>Numbers</t>
        </is>
      </c>
      <c r="E169" s="27" t="n">
        <v>1</v>
      </c>
      <c r="F169" s="9" t="n"/>
      <c r="G169" s="9">
        <f>E169*F169</f>
        <v/>
      </c>
      <c r="H169" s="9" t="n">
        <v>3800</v>
      </c>
      <c r="I169" s="9">
        <f>E169*H169</f>
        <v/>
      </c>
      <c r="J169" s="23" t="inlineStr">
        <is>
          <t>derived_estimate</t>
        </is>
      </c>
      <c r="K169" s="23" t="inlineStr">
        <is>
          <t>Cummins hump hose; qty 1</t>
        </is>
      </c>
      <c r="L169" s="23" t="inlineStr"/>
      <c r="M169" s="23" t="n"/>
    </row>
    <row r="170">
      <c r="A170" s="26" t="n">
        <v>78</v>
      </c>
      <c r="B170" s="23" t="inlineStr">
        <is>
          <t>AX1015648</t>
        </is>
      </c>
      <c r="C170" s="23" t="inlineStr">
        <is>
          <t>RACOR Dual FLT Funnel (Conductive – Large size).</t>
        </is>
      </c>
      <c r="D170" s="23" t="inlineStr"/>
      <c r="E170" s="27" t="n"/>
      <c r="F170" s="9" t="n">
        <v>15026.51</v>
      </c>
      <c r="G170" s="9">
        <f>E170*F170</f>
        <v/>
      </c>
      <c r="H170" s="9" t="n">
        <v>12021</v>
      </c>
      <c r="I170" s="9">
        <f>E170*H170</f>
        <v/>
      </c>
      <c r="J170" s="23" t="inlineStr">
        <is>
          <t>derived_estimate</t>
        </is>
      </c>
      <c r="K170" s="23" t="inlineStr">
        <is>
          <t>RACOR fuel filter funnel; cost stripped from tender benchmark</t>
        </is>
      </c>
      <c r="L170" s="23" t="inlineStr"/>
      <c r="M170" s="23" t="n"/>
    </row>
    <row r="171">
      <c r="A171" s="26" t="n">
        <v>79</v>
      </c>
      <c r="B171" s="23" t="inlineStr">
        <is>
          <t>5277216</t>
        </is>
      </c>
      <c r="C171" s="23" t="inlineStr">
        <is>
          <t>Starter Protection Unit</t>
        </is>
      </c>
      <c r="D171" s="23" t="inlineStr"/>
      <c r="E171" s="27" t="n"/>
      <c r="F171" s="9" t="n">
        <v>33192.66</v>
      </c>
      <c r="G171" s="9">
        <f>E171*F171</f>
        <v/>
      </c>
      <c r="H171" s="9" t="n">
        <v>26554</v>
      </c>
      <c r="I171" s="9">
        <f>E171*H171</f>
        <v/>
      </c>
      <c r="J171" s="23" t="inlineStr">
        <is>
          <t>derived_estimate</t>
        </is>
      </c>
      <c r="K171" s="23" t="inlineStr">
        <is>
          <t>Starter protection unit; cost stripped from tender benchmark</t>
        </is>
      </c>
      <c r="L171" s="23" t="inlineStr"/>
      <c r="M171" s="23" t="n"/>
    </row>
    <row r="172">
      <c r="A172" s="26" t="n">
        <v>79</v>
      </c>
      <c r="B172" s="23" t="inlineStr">
        <is>
          <t>3627206</t>
        </is>
      </c>
      <c r="C172" s="23" t="inlineStr">
        <is>
          <t>Clamp, T Bolt</t>
        </is>
      </c>
      <c r="D172" s="23" t="inlineStr">
        <is>
          <t>Numbers</t>
        </is>
      </c>
      <c r="E172" s="27" t="n">
        <v>2</v>
      </c>
      <c r="F172" s="9" t="n"/>
      <c r="G172" s="9">
        <f>E172*F172</f>
        <v/>
      </c>
      <c r="H172" s="9" t="n">
        <v>280</v>
      </c>
      <c r="I172" s="9">
        <f>E172*H172</f>
        <v/>
      </c>
      <c r="J172" s="23" t="inlineStr">
        <is>
          <t>derived_estimate</t>
        </is>
      </c>
      <c r="K172" s="23" t="inlineStr">
        <is>
          <t>T-bolt clamp; qty 2</t>
        </is>
      </c>
      <c r="L172" s="23" t="inlineStr"/>
      <c r="M172" s="23" t="n"/>
    </row>
    <row r="173">
      <c r="A173" s="26" t="n">
        <v>80</v>
      </c>
      <c r="B173" s="23" t="inlineStr">
        <is>
          <t>3030778</t>
        </is>
      </c>
      <c r="C173" s="23" t="inlineStr">
        <is>
          <t>Hose, Elbow</t>
        </is>
      </c>
      <c r="D173" s="23" t="inlineStr">
        <is>
          <t>Numbers</t>
        </is>
      </c>
      <c r="E173" s="27" t="n">
        <v>1</v>
      </c>
      <c r="F173" s="9" t="n"/>
      <c r="G173" s="9">
        <f>E173*F173</f>
        <v/>
      </c>
      <c r="H173" s="9" t="n">
        <v>3500</v>
      </c>
      <c r="I173" s="9">
        <f>E173*H173</f>
        <v/>
      </c>
      <c r="J173" s="23" t="inlineStr">
        <is>
          <t>derived_estimate</t>
        </is>
      </c>
      <c r="K173" s="23" t="inlineStr">
        <is>
          <t>Cummins elbow hose; qty 1</t>
        </is>
      </c>
      <c r="L173" s="23" t="inlineStr"/>
      <c r="M173" s="23" t="n"/>
    </row>
    <row r="174">
      <c r="A174" s="26" t="n">
        <v>80</v>
      </c>
      <c r="B174" s="23" t="inlineStr">
        <is>
          <t>5559630</t>
        </is>
      </c>
      <c r="C174" s="23" t="inlineStr">
        <is>
          <t>Fan Engine</t>
        </is>
      </c>
      <c r="D174" s="23" t="inlineStr"/>
      <c r="E174" s="27" t="n"/>
      <c r="F174" s="9" t="n">
        <v>46887.22</v>
      </c>
      <c r="G174" s="9">
        <f>E174*F174</f>
        <v/>
      </c>
      <c r="H174" s="9" t="n">
        <v>37510</v>
      </c>
      <c r="I174" s="9">
        <f>E174*H174</f>
        <v/>
      </c>
      <c r="J174" s="23" t="inlineStr">
        <is>
          <t>derived_estimate</t>
        </is>
      </c>
      <c r="K174" s="23" t="inlineStr">
        <is>
          <t>Engine fan component; cost stripped from tender benchmark</t>
        </is>
      </c>
      <c r="L174" s="23" t="inlineStr"/>
      <c r="M174" s="23" t="n"/>
    </row>
    <row r="175">
      <c r="A175" s="26" t="n">
        <v>81</v>
      </c>
      <c r="B175" s="23" t="inlineStr">
        <is>
          <t>AK6035SS</t>
        </is>
      </c>
      <c r="C175" s="23" t="inlineStr">
        <is>
          <t>Hose, Flexible</t>
        </is>
      </c>
      <c r="D175" s="23" t="inlineStr">
        <is>
          <t>Numbers</t>
        </is>
      </c>
      <c r="E175" s="27" t="n">
        <v>1</v>
      </c>
      <c r="F175" s="9" t="n"/>
      <c r="G175" s="9">
        <f>E175*F175</f>
        <v/>
      </c>
      <c r="H175" s="9" t="n">
        <v>4200</v>
      </c>
      <c r="I175" s="9">
        <f>E175*H175</f>
        <v/>
      </c>
      <c r="J175" s="23" t="inlineStr">
        <is>
          <t>derived_estimate</t>
        </is>
      </c>
      <c r="K175" s="23" t="inlineStr">
        <is>
          <t>Cummins flexible hose; qty 1</t>
        </is>
      </c>
      <c r="L175" s="23" t="inlineStr"/>
      <c r="M175" s="23" t="n"/>
    </row>
    <row r="176">
      <c r="A176" s="26" t="n">
        <v>81</v>
      </c>
      <c r="B176" s="23" t="inlineStr">
        <is>
          <t>3004316</t>
        </is>
      </c>
      <c r="C176" s="23" t="inlineStr">
        <is>
          <t>Seal Oil</t>
        </is>
      </c>
      <c r="D176" s="23" t="inlineStr"/>
      <c r="E176" s="27" t="n"/>
      <c r="F176" s="9" t="n">
        <v>1408.357</v>
      </c>
      <c r="G176" s="9">
        <f>E176*F176</f>
        <v/>
      </c>
      <c r="H176" s="9" t="n">
        <v>1127</v>
      </c>
      <c r="I176" s="9">
        <f>E176*H176</f>
        <v/>
      </c>
      <c r="J176" s="23" t="inlineStr">
        <is>
          <t>derived_estimate</t>
        </is>
      </c>
      <c r="K176" s="23" t="inlineStr">
        <is>
          <t>Seal oil component; cost stripped from tender benchmark</t>
        </is>
      </c>
      <c r="L176" s="23" t="inlineStr"/>
      <c r="M176" s="23" t="n"/>
    </row>
    <row r="177">
      <c r="A177" s="26" t="n">
        <v>82</v>
      </c>
      <c r="B177" s="23" t="inlineStr">
        <is>
          <t>214836</t>
        </is>
      </c>
      <c r="C177" s="23" t="inlineStr">
        <is>
          <t>Core After cooler</t>
        </is>
      </c>
      <c r="D177" s="23" t="inlineStr"/>
      <c r="E177" s="27" t="n"/>
      <c r="F177" s="9" t="n">
        <v>196907.7</v>
      </c>
      <c r="G177" s="9">
        <f>E177*F177</f>
        <v/>
      </c>
      <c r="H177" s="9" t="n">
        <v>157526</v>
      </c>
      <c r="I177" s="9">
        <f>E177*H177</f>
        <v/>
      </c>
      <c r="J177" s="23" t="inlineStr">
        <is>
          <t>derived_estimate</t>
        </is>
      </c>
      <c r="K177" s="23" t="inlineStr">
        <is>
          <t>Aftercooler core component; cost stripped from tender benchmark</t>
        </is>
      </c>
      <c r="L177" s="23" t="inlineStr"/>
      <c r="M177" s="23" t="n"/>
    </row>
    <row r="178">
      <c r="A178" s="26" t="n">
        <v>82</v>
      </c>
      <c r="B178" s="23" t="inlineStr">
        <is>
          <t>AK6075SS</t>
        </is>
      </c>
      <c r="C178" s="23" t="inlineStr">
        <is>
          <t>Hose, Flexible</t>
        </is>
      </c>
      <c r="D178" s="23" t="inlineStr">
        <is>
          <t>Numbers</t>
        </is>
      </c>
      <c r="E178" s="27" t="n">
        <v>1</v>
      </c>
      <c r="F178" s="9" t="n"/>
      <c r="G178" s="9">
        <f>E178*F178</f>
        <v/>
      </c>
      <c r="H178" s="9" t="n">
        <v>4200</v>
      </c>
      <c r="I178" s="9">
        <f>E178*H178</f>
        <v/>
      </c>
      <c r="J178" s="23" t="inlineStr">
        <is>
          <t>derived_estimate</t>
        </is>
      </c>
      <c r="K178" s="23" t="inlineStr">
        <is>
          <t>Cummins flexible hose; qty 1</t>
        </is>
      </c>
      <c r="L178" s="23" t="inlineStr"/>
      <c r="M178" s="23" t="n"/>
    </row>
    <row r="179">
      <c r="A179" s="26" t="n">
        <v>83</v>
      </c>
      <c r="B179" s="23" t="inlineStr">
        <is>
          <t>R03279661</t>
        </is>
      </c>
      <c r="C179" s="23" t="inlineStr">
        <is>
          <t>Reconditioned Injector, Top Stop</t>
        </is>
      </c>
      <c r="D179" s="23" t="inlineStr">
        <is>
          <t>Numbers</t>
        </is>
      </c>
      <c r="E179" s="27" t="n">
        <v>6</v>
      </c>
      <c r="F179" s="9" t="n"/>
      <c r="G179" s="9">
        <f>E179*F179</f>
        <v/>
      </c>
      <c r="H179" s="9" t="n">
        <v>15000</v>
      </c>
      <c r="I179" s="9">
        <f>E179*H179</f>
        <v/>
      </c>
      <c r="J179" s="23" t="inlineStr">
        <is>
          <t>derived_estimate</t>
        </is>
      </c>
      <c r="K179" s="23" t="inlineStr">
        <is>
          <t>Reconditioned Cummins injector (top stop); qty 6; estimated at 67% of new kit cost</t>
        </is>
      </c>
      <c r="L179" s="23" t="inlineStr"/>
      <c r="M179" s="23" t="n"/>
    </row>
    <row r="180">
      <c r="A180" s="26" t="n">
        <v>83</v>
      </c>
      <c r="B180" s="23" t="inlineStr">
        <is>
          <t>3008591</t>
        </is>
      </c>
      <c r="C180" s="23" t="inlineStr">
        <is>
          <t>Gasket Intake Manifold</t>
        </is>
      </c>
      <c r="D180" s="23" t="inlineStr"/>
      <c r="E180" s="27" t="n"/>
      <c r="F180" s="9" t="n">
        <v>553.8042</v>
      </c>
      <c r="G180" s="9">
        <f>E180*F180</f>
        <v/>
      </c>
      <c r="H180" s="9" t="n">
        <v>443</v>
      </c>
      <c r="I180" s="9">
        <f>E180*H180</f>
        <v/>
      </c>
      <c r="J180" s="23" t="inlineStr">
        <is>
          <t>derived_estimate</t>
        </is>
      </c>
      <c r="K180" s="23" t="inlineStr">
        <is>
          <t>Intake manifold gasket; cost stripped from tender benchmark</t>
        </is>
      </c>
      <c r="L180" s="23" t="inlineStr"/>
      <c r="M180" s="23" t="n"/>
    </row>
    <row r="181">
      <c r="A181" s="26" t="n">
        <v>84</v>
      </c>
      <c r="B181" s="23" t="inlineStr">
        <is>
          <t>3077201</t>
        </is>
      </c>
      <c r="C181" s="23" t="inlineStr">
        <is>
          <t>Gasket Air Housing</t>
        </is>
      </c>
      <c r="D181" s="23" t="inlineStr"/>
      <c r="E181" s="27" t="n"/>
      <c r="F181" s="9" t="n">
        <v>26955.04</v>
      </c>
      <c r="G181" s="9">
        <f>E181*F181</f>
        <v/>
      </c>
      <c r="H181" s="9" t="n">
        <v>21564</v>
      </c>
      <c r="I181" s="9">
        <f>E181*H181</f>
        <v/>
      </c>
      <c r="J181" s="23" t="inlineStr">
        <is>
          <t>derived_estimate</t>
        </is>
      </c>
      <c r="K181" s="23" t="inlineStr">
        <is>
          <t>Air housing gasket; cost stripped from tender benchmark</t>
        </is>
      </c>
      <c r="L181" s="23" t="inlineStr"/>
      <c r="M181" s="23" t="n"/>
    </row>
    <row r="182">
      <c r="A182" s="26" t="n">
        <v>85</v>
      </c>
      <c r="B182" s="23" t="inlineStr">
        <is>
          <t>216487</t>
        </is>
      </c>
      <c r="C182" s="23" t="inlineStr">
        <is>
          <t>Gasket Connection</t>
        </is>
      </c>
      <c r="D182" s="23" t="inlineStr"/>
      <c r="E182" s="27" t="n"/>
      <c r="F182" s="9" t="n">
        <v>1478.72</v>
      </c>
      <c r="G182" s="9">
        <f>E182*F182</f>
        <v/>
      </c>
      <c r="H182" s="9" t="n">
        <v>1183</v>
      </c>
      <c r="I182" s="9">
        <f>E182*H182</f>
        <v/>
      </c>
      <c r="J182" s="23" t="inlineStr">
        <is>
          <t>derived_estimate</t>
        </is>
      </c>
      <c r="K182" s="23" t="inlineStr">
        <is>
          <t>Connection gasket; cost stripped from tender benchmark</t>
        </is>
      </c>
      <c r="L182" s="23" t="inlineStr"/>
      <c r="M182" s="23" t="n"/>
    </row>
    <row r="183">
      <c r="A183" s="26" t="n">
        <v>86</v>
      </c>
      <c r="B183" s="23" t="inlineStr">
        <is>
          <t>4084138</t>
        </is>
      </c>
      <c r="C183" s="23" t="inlineStr">
        <is>
          <t>Exhaust Bellow</t>
        </is>
      </c>
      <c r="D183" s="23" t="inlineStr"/>
      <c r="E183" s="27" t="n"/>
      <c r="F183" s="9" t="n">
        <v>24328.28</v>
      </c>
      <c r="G183" s="9">
        <f>E183*F183</f>
        <v/>
      </c>
      <c r="H183" s="9" t="n">
        <v>19463</v>
      </c>
      <c r="I183" s="9">
        <f>E183*H183</f>
        <v/>
      </c>
      <c r="J183" s="23" t="inlineStr">
        <is>
          <t>derived_estimate</t>
        </is>
      </c>
      <c r="K183" s="23" t="inlineStr">
        <is>
          <t>Exhaust bellow component; cost stripped from tender benchmark</t>
        </is>
      </c>
      <c r="L183" s="23" t="inlineStr"/>
      <c r="M183" s="23" t="n"/>
    </row>
    <row r="184">
      <c r="A184" s="26" t="n">
        <v>87</v>
      </c>
      <c r="B184" s="23" t="inlineStr">
        <is>
          <t>186918</t>
        </is>
      </c>
      <c r="C184" s="23" t="inlineStr">
        <is>
          <t>Exhaust Outlet Connection</t>
        </is>
      </c>
      <c r="D184" s="23" t="inlineStr"/>
      <c r="E184" s="27" t="n"/>
      <c r="F184" s="9" t="n">
        <v>3387.61</v>
      </c>
      <c r="G184" s="9">
        <f>E184*F184</f>
        <v/>
      </c>
      <c r="H184" s="9" t="n">
        <v>2710</v>
      </c>
      <c r="I184" s="9">
        <f>E184*H184</f>
        <v/>
      </c>
      <c r="J184" s="23" t="inlineStr">
        <is>
          <t>derived_estimate</t>
        </is>
      </c>
      <c r="K184" s="23" t="inlineStr">
        <is>
          <t>Exhaust outlet connection; cost stripped from tender benchmark</t>
        </is>
      </c>
      <c r="L184" s="23" t="inlineStr"/>
      <c r="M184" s="23" t="n"/>
    </row>
    <row r="185">
      <c r="A185" s="26" t="n">
        <v>88</v>
      </c>
      <c r="B185" s="23" t="inlineStr">
        <is>
          <t>186917</t>
        </is>
      </c>
      <c r="C185" s="23" t="inlineStr">
        <is>
          <t>Clamp</t>
        </is>
      </c>
      <c r="D185" s="23" t="inlineStr"/>
      <c r="E185" s="27" t="n"/>
      <c r="F185" s="9" t="n">
        <v>2479.352</v>
      </c>
      <c r="G185" s="9">
        <f>E185*F185</f>
        <v/>
      </c>
      <c r="H185" s="9" t="n">
        <v>1983</v>
      </c>
      <c r="I185" s="9">
        <f>E185*H185</f>
        <v/>
      </c>
      <c r="J185" s="23" t="inlineStr">
        <is>
          <t>derived_estimate</t>
        </is>
      </c>
      <c r="K185" s="23" t="inlineStr">
        <is>
          <t>Clamp component; cost stripped from tender benchmark</t>
        </is>
      </c>
      <c r="L185" s="23" t="inlineStr"/>
      <c r="M185" s="23" t="n"/>
    </row>
    <row r="186">
      <c r="A186" s="26" t="n">
        <v>89</v>
      </c>
      <c r="B186" s="23" t="inlineStr">
        <is>
          <t>2800039</t>
        </is>
      </c>
      <c r="C186" s="23" t="inlineStr">
        <is>
          <t>Gasket Exhaust Connection</t>
        </is>
      </c>
      <c r="D186" s="23" t="inlineStr"/>
      <c r="E186" s="27" t="n"/>
      <c r="F186" s="9" t="n">
        <v>3267.3396</v>
      </c>
      <c r="G186" s="9">
        <f>E186*F186</f>
        <v/>
      </c>
      <c r="H186" s="9" t="n">
        <v>2614</v>
      </c>
      <c r="I186" s="9">
        <f>E186*H186</f>
        <v/>
      </c>
      <c r="J186" s="23" t="inlineStr">
        <is>
          <t>derived_estimate</t>
        </is>
      </c>
      <c r="K186" s="23" t="inlineStr">
        <is>
          <t>Exhaust connection gasket; cost stripped from tender benchmark</t>
        </is>
      </c>
      <c r="L186" s="23" t="inlineStr"/>
      <c r="M186" s="23" t="n"/>
    </row>
    <row r="187">
      <c r="A187" s="26" t="n">
        <v>90</v>
      </c>
      <c r="B187" s="23" t="inlineStr">
        <is>
          <t>3100517</t>
        </is>
      </c>
      <c r="C187" s="23" t="inlineStr">
        <is>
          <t>Union Male</t>
        </is>
      </c>
      <c r="D187" s="23" t="inlineStr"/>
      <c r="E187" s="27" t="n"/>
      <c r="F187" s="9" t="n">
        <v>477.5402</v>
      </c>
      <c r="G187" s="9">
        <f>E187*F187</f>
        <v/>
      </c>
      <c r="H187" s="9" t="n">
        <v>382</v>
      </c>
      <c r="I187" s="9">
        <f>E187*H187</f>
        <v/>
      </c>
      <c r="J187" s="23" t="inlineStr">
        <is>
          <t>derived_estimate</t>
        </is>
      </c>
      <c r="K187" s="23" t="inlineStr">
        <is>
          <t>Male union fitting; cost stripped from tender benchmark</t>
        </is>
      </c>
      <c r="L187" s="23" t="inlineStr"/>
      <c r="M187" s="23" t="n"/>
    </row>
    <row r="188">
      <c r="A188" s="26" t="n">
        <v>91</v>
      </c>
      <c r="B188" s="23" t="inlineStr">
        <is>
          <t>3220906</t>
        </is>
      </c>
      <c r="C188" s="23" t="inlineStr">
        <is>
          <t>Gasket Exhaust Connection</t>
        </is>
      </c>
      <c r="D188" s="23" t="inlineStr"/>
      <c r="E188" s="27" t="n"/>
      <c r="F188" s="9" t="n">
        <v>646.6961</v>
      </c>
      <c r="G188" s="9">
        <f>E188*F188</f>
        <v/>
      </c>
      <c r="H188" s="9" t="n">
        <v>517</v>
      </c>
      <c r="I188" s="9">
        <f>E188*H188</f>
        <v/>
      </c>
      <c r="J188" s="23" t="inlineStr">
        <is>
          <t>derived_estimate</t>
        </is>
      </c>
      <c r="K188" s="23" t="inlineStr">
        <is>
          <t>Exhaust connection gasket; cost stripped from tender benchmark</t>
        </is>
      </c>
      <c r="L188" s="23" t="inlineStr"/>
      <c r="M188" s="23" t="n"/>
    </row>
    <row r="189">
      <c r="A189" s="26" t="n">
        <v>92</v>
      </c>
      <c r="B189" s="23" t="inlineStr">
        <is>
          <t>3167976</t>
        </is>
      </c>
      <c r="C189" s="23" t="inlineStr">
        <is>
          <t>Valve Fuel Shut Off</t>
        </is>
      </c>
      <c r="D189" s="23" t="inlineStr"/>
      <c r="E189" s="27" t="n"/>
      <c r="F189" s="9" t="n">
        <v>25208.82</v>
      </c>
      <c r="G189" s="9">
        <f>E189*F189</f>
        <v/>
      </c>
      <c r="H189" s="9" t="n">
        <v>20167</v>
      </c>
      <c r="I189" s="9">
        <f>E189*H189</f>
        <v/>
      </c>
      <c r="J189" s="23" t="inlineStr">
        <is>
          <t>derived_estimate</t>
        </is>
      </c>
      <c r="K189" s="23" t="inlineStr">
        <is>
          <t>Fuel shutoff valve; cost stripped from tender benchmark</t>
        </is>
      </c>
      <c r="L189" s="23" t="inlineStr"/>
      <c r="M189" s="23" t="n"/>
    </row>
    <row r="190">
      <c r="A190" s="26" t="n">
        <v>93</v>
      </c>
      <c r="B190" s="23" t="inlineStr">
        <is>
          <t>3240551</t>
        </is>
      </c>
      <c r="C190" s="23" t="inlineStr">
        <is>
          <t>Valve Fuel Shutoff</t>
        </is>
      </c>
      <c r="D190" s="23" t="inlineStr"/>
      <c r="E190" s="27" t="n"/>
      <c r="F190" s="9" t="n">
        <v>45920.82</v>
      </c>
      <c r="G190" s="9">
        <f>E190*F190</f>
        <v/>
      </c>
      <c r="H190" s="9" t="n">
        <v>36736</v>
      </c>
      <c r="I190" s="9">
        <f>E190*H190</f>
        <v/>
      </c>
      <c r="J190" s="23" t="inlineStr">
        <is>
          <t>derived_estimate</t>
        </is>
      </c>
      <c r="K190" s="23" t="inlineStr">
        <is>
          <t>Fuel shutoff valve; cost stripped from tender benchmark</t>
        </is>
      </c>
      <c r="L190" s="23" t="inlineStr"/>
      <c r="M190" s="23" t="n"/>
    </row>
    <row r="191">
      <c r="A191" s="26" t="n">
        <v>94</v>
      </c>
      <c r="B191" s="23" t="inlineStr">
        <is>
          <t>4054843</t>
        </is>
      </c>
      <c r="C191" s="23" t="inlineStr">
        <is>
          <t>Elbow Male Union</t>
        </is>
      </c>
      <c r="D191" s="23" t="inlineStr"/>
      <c r="E191" s="27" t="n"/>
      <c r="F191" s="9" t="n">
        <v>745.24</v>
      </c>
      <c r="G191" s="9">
        <f>E191*F191</f>
        <v/>
      </c>
      <c r="H191" s="9" t="n">
        <v>596</v>
      </c>
      <c r="I191" s="9">
        <f>E191*H191</f>
        <v/>
      </c>
      <c r="J191" s="23" t="inlineStr">
        <is>
          <t>derived_estimate</t>
        </is>
      </c>
      <c r="K191" s="23" t="inlineStr">
        <is>
          <t>Elbow male union fitting; cost stripped from tender benchmark</t>
        </is>
      </c>
      <c r="L191" s="23" t="inlineStr"/>
      <c r="M191" s="23" t="n"/>
    </row>
    <row r="192">
      <c r="A192" s="26" t="n">
        <v>95</v>
      </c>
      <c r="B192" s="23" t="inlineStr">
        <is>
          <t>3240088</t>
        </is>
      </c>
      <c r="C192" s="23" t="inlineStr">
        <is>
          <t>Check Valve Fuel Filter</t>
        </is>
      </c>
      <c r="D192" s="23" t="inlineStr"/>
      <c r="E192" s="27" t="n"/>
      <c r="F192" s="9" t="n">
        <v>2581.383</v>
      </c>
      <c r="G192" s="9">
        <f>E192*F192</f>
        <v/>
      </c>
      <c r="H192" s="9" t="n">
        <v>2065</v>
      </c>
      <c r="I192" s="9">
        <f>E192*H192</f>
        <v/>
      </c>
      <c r="J192" s="23" t="inlineStr">
        <is>
          <t>derived_estimate</t>
        </is>
      </c>
      <c r="K192" s="23" t="inlineStr">
        <is>
          <t>Fuel filter check valve; cost stripped from tender benchmark</t>
        </is>
      </c>
      <c r="L192" s="23" t="inlineStr"/>
      <c r="M192" s="23" t="n"/>
    </row>
    <row r="193">
      <c r="A193" s="26" t="n">
        <v>96</v>
      </c>
      <c r="B193" s="23" t="inlineStr">
        <is>
          <t>3316528</t>
        </is>
      </c>
      <c r="C193" s="23" t="inlineStr">
        <is>
          <t>Head Fuel Filter</t>
        </is>
      </c>
      <c r="D193" s="23" t="inlineStr"/>
      <c r="E193" s="27" t="n"/>
      <c r="F193" s="9" t="n">
        <v>1799.356</v>
      </c>
      <c r="G193" s="9">
        <f>E193*F193</f>
        <v/>
      </c>
      <c r="H193" s="9" t="n">
        <v>1439</v>
      </c>
      <c r="I193" s="9">
        <f>E193*H193</f>
        <v/>
      </c>
      <c r="J193" s="23" t="inlineStr">
        <is>
          <t>derived_estimate</t>
        </is>
      </c>
      <c r="K193" s="23" t="inlineStr">
        <is>
          <t>Fuel filter head; cost stripped from tender benchmark</t>
        </is>
      </c>
      <c r="L193" s="23" t="inlineStr"/>
      <c r="M193" s="23" t="n"/>
    </row>
    <row r="194">
      <c r="A194" s="26" t="n">
        <v>97</v>
      </c>
      <c r="B194" s="23" t="inlineStr">
        <is>
          <t>4397625</t>
        </is>
      </c>
      <c r="C194" s="23" t="inlineStr">
        <is>
          <t>Pump Fuel Tin</t>
        </is>
      </c>
      <c r="D194" s="23" t="inlineStr"/>
      <c r="E194" s="27" t="n"/>
      <c r="F194" s="9" t="n">
        <v>329022.7</v>
      </c>
      <c r="G194" s="9">
        <f>E194*F194</f>
        <v/>
      </c>
      <c r="H194" s="9" t="n">
        <v>263218</v>
      </c>
      <c r="I194" s="9">
        <f>E194*H194</f>
        <v/>
      </c>
      <c r="J194" s="23" t="inlineStr">
        <is>
          <t>derived_estimate</t>
        </is>
      </c>
      <c r="K194" s="23" t="inlineStr">
        <is>
          <t>Fuel pump tin/tank component; cost stripped from tender benchmark</t>
        </is>
      </c>
      <c r="L194" s="23" t="inlineStr"/>
      <c r="M194" s="23" t="n"/>
    </row>
    <row r="195">
      <c r="A195" s="26" t="n">
        <v>98</v>
      </c>
      <c r="B195" s="23" t="inlineStr">
        <is>
          <t>4026171</t>
        </is>
      </c>
      <c r="C195" s="23" t="inlineStr">
        <is>
          <t>Gasket Fuel Pump</t>
        </is>
      </c>
      <c r="D195" s="23" t="inlineStr"/>
      <c r="E195" s="27" t="n"/>
      <c r="F195" s="9" t="n">
        <v>1642.536</v>
      </c>
      <c r="G195" s="9">
        <f>E195*F195</f>
        <v/>
      </c>
      <c r="H195" s="9" t="n">
        <v>1314.03</v>
      </c>
      <c r="I195" s="9">
        <f>E195*H195</f>
        <v/>
      </c>
      <c r="J195" s="23" t="inlineStr">
        <is>
          <t>derived_estimate</t>
        </is>
      </c>
      <c r="K195" s="23" t="inlineStr">
        <is>
          <t>Derived from published reference Rs 1,642.54 by stripping 10% overhead + 15% margin (÷1.250).</t>
        </is>
      </c>
      <c r="L195" s="23" t="inlineStr"/>
      <c r="M195" s="23" t="n"/>
    </row>
    <row r="196">
      <c r="A196" s="26" t="n">
        <v>99</v>
      </c>
      <c r="B196" s="23" t="inlineStr">
        <is>
          <t>3231787</t>
        </is>
      </c>
      <c r="C196" s="23" t="inlineStr">
        <is>
          <t>Separator Fuel Water</t>
        </is>
      </c>
      <c r="D196" s="23" t="inlineStr"/>
      <c r="E196" s="27" t="n"/>
      <c r="F196" s="9" t="n">
        <v>13382.76</v>
      </c>
      <c r="G196" s="9">
        <f>E196*F196</f>
        <v/>
      </c>
      <c r="H196" s="9" t="n">
        <v>10706.21</v>
      </c>
      <c r="I196" s="9">
        <f>E196*H196</f>
        <v/>
      </c>
      <c r="J196" s="23" t="inlineStr">
        <is>
          <t>derived_estimate</t>
        </is>
      </c>
      <c r="K196" s="23" t="inlineStr">
        <is>
          <t>Derived from published reference Rs 13,382.76 by stripping 10% overhead + 15% margin (÷1.250).</t>
        </is>
      </c>
      <c r="L196" s="23" t="inlineStr"/>
      <c r="M196" s="23" t="n"/>
    </row>
    <row r="197">
      <c r="A197" s="26" t="n">
        <v>100</v>
      </c>
      <c r="B197" s="23" t="inlineStr">
        <is>
          <t>4398716</t>
        </is>
      </c>
      <c r="C197" s="23" t="inlineStr">
        <is>
          <t>Element Hydraulic Filter</t>
        </is>
      </c>
      <c r="D197" s="23" t="inlineStr"/>
      <c r="E197" s="27" t="n"/>
      <c r="F197" s="9" t="n">
        <v>38086.54</v>
      </c>
      <c r="G197" s="9">
        <f>E197*F197</f>
        <v/>
      </c>
      <c r="H197" s="9" t="n">
        <v>30469.23</v>
      </c>
      <c r="I197" s="9">
        <f>E197*H197</f>
        <v/>
      </c>
      <c r="J197" s="23" t="inlineStr">
        <is>
          <t>derived_estimate</t>
        </is>
      </c>
      <c r="K197" s="23" t="inlineStr">
        <is>
          <t>Derived from published reference Rs 38,086.54 by stripping 10% overhead + 15% margin (÷1.250).</t>
        </is>
      </c>
      <c r="L197" s="23" t="inlineStr"/>
      <c r="M197" s="23" t="n"/>
    </row>
    <row r="198">
      <c r="A198" s="26" t="n">
        <v>101</v>
      </c>
      <c r="B198" s="23" t="inlineStr">
        <is>
          <t>A062F623</t>
        </is>
      </c>
      <c r="C198" s="23" t="inlineStr">
        <is>
          <t>Hydraulic Booster Filter</t>
        </is>
      </c>
      <c r="D198" s="23" t="inlineStr"/>
      <c r="E198" s="27" t="n"/>
      <c r="F198" s="9" t="n">
        <v>19858.88</v>
      </c>
      <c r="G198" s="9">
        <f>E198*F198</f>
        <v/>
      </c>
      <c r="H198" s="9" t="n">
        <v>15887.1</v>
      </c>
      <c r="I198" s="9">
        <f>E198*H198</f>
        <v/>
      </c>
      <c r="J198" s="23" t="inlineStr">
        <is>
          <t>derived_estimate</t>
        </is>
      </c>
      <c r="K198" s="23" t="inlineStr">
        <is>
          <t>Derived from published reference Rs 19,858.88 by stripping 10% overhead + 15% margin (÷1.250).</t>
        </is>
      </c>
      <c r="L198" s="23" t="inlineStr"/>
      <c r="M198" s="23" t="n"/>
    </row>
    <row r="199">
      <c r="A199" s="26" t="n">
        <v>102</v>
      </c>
      <c r="B199" s="23" t="inlineStr">
        <is>
          <t>4398338</t>
        </is>
      </c>
      <c r="C199" s="23" t="inlineStr">
        <is>
          <t>Hydraulic Motor Fan Drive</t>
        </is>
      </c>
      <c r="D199" s="23" t="inlineStr"/>
      <c r="E199" s="27" t="n"/>
      <c r="F199" s="9" t="n">
        <v>1019286</v>
      </c>
      <c r="G199" s="9">
        <f>E199*F199</f>
        <v/>
      </c>
      <c r="H199" s="9" t="n">
        <v>850000</v>
      </c>
      <c r="I199" s="9">
        <f>E199*H199</f>
        <v/>
      </c>
      <c r="J199" s="23" t="inlineStr">
        <is>
          <t>derived_estimate</t>
        </is>
      </c>
      <c r="K199" s="23" t="inlineStr"/>
      <c r="L199" s="23" t="inlineStr"/>
      <c r="M199" s="23" t="n"/>
    </row>
    <row r="200">
      <c r="A200" s="26" t="n">
        <v>103</v>
      </c>
      <c r="B200" s="23" t="inlineStr">
        <is>
          <t>A061T510</t>
        </is>
      </c>
      <c r="C200" s="23" t="inlineStr">
        <is>
          <t>Harness Hydraulic Tank Fan</t>
        </is>
      </c>
      <c r="D200" s="23" t="inlineStr"/>
      <c r="E200" s="27" t="n"/>
      <c r="F200" s="9" t="n">
        <v>144398.3</v>
      </c>
      <c r="G200" s="9">
        <f>E200*F200</f>
        <v/>
      </c>
      <c r="H200" s="9" t="n">
        <v>115518.64</v>
      </c>
      <c r="I200" s="9">
        <f>E200*H200</f>
        <v/>
      </c>
      <c r="J200" s="23" t="inlineStr">
        <is>
          <t>derived_estimate</t>
        </is>
      </c>
      <c r="K200" s="23" t="inlineStr">
        <is>
          <t>Derived from published reference Rs 144,398.30 by stripping 10% overhead + 15% margin (÷1.250).</t>
        </is>
      </c>
      <c r="L200" s="23" t="inlineStr"/>
      <c r="M200" s="23" t="n"/>
    </row>
    <row r="201">
      <c r="A201" s="26" t="n">
        <v>104</v>
      </c>
      <c r="B201" s="23" t="inlineStr">
        <is>
          <t>A061T519</t>
        </is>
      </c>
      <c r="C201" s="23" t="inlineStr">
        <is>
          <t>Harness (PRV) Fan Drive</t>
        </is>
      </c>
      <c r="D201" s="23" t="inlineStr"/>
      <c r="E201" s="27" t="n"/>
      <c r="F201" s="9" t="n">
        <v>23651.44</v>
      </c>
      <c r="G201" s="9">
        <f>E201*F201</f>
        <v/>
      </c>
      <c r="H201" s="9" t="n">
        <v>18921.15</v>
      </c>
      <c r="I201" s="9">
        <f>E201*H201</f>
        <v/>
      </c>
      <c r="J201" s="23" t="inlineStr">
        <is>
          <t>derived_estimate</t>
        </is>
      </c>
      <c r="K201" s="23" t="inlineStr">
        <is>
          <t>Derived from published reference Rs 23,651.44 by stripping 10% overhead + 15% margin (÷1.250).</t>
        </is>
      </c>
      <c r="L201" s="23" t="inlineStr"/>
      <c r="M201" s="23" t="n"/>
    </row>
    <row r="202">
      <c r="A202" s="26" t="n">
        <v>105</v>
      </c>
      <c r="B202" s="23" t="inlineStr">
        <is>
          <t>4398335</t>
        </is>
      </c>
      <c r="C202" s="23" t="inlineStr">
        <is>
          <t>Pump Hydraulic Fan Drive</t>
        </is>
      </c>
      <c r="D202" s="23" t="inlineStr"/>
      <c r="E202" s="27" t="n"/>
      <c r="F202" s="9" t="n">
        <v>751815.58</v>
      </c>
      <c r="G202" s="9">
        <f>E202*F202</f>
        <v/>
      </c>
      <c r="H202" s="9" t="n">
        <v>650000</v>
      </c>
      <c r="I202" s="9">
        <f>E202*H202</f>
        <v/>
      </c>
      <c r="J202" s="23" t="inlineStr">
        <is>
          <t>derived_estimate</t>
        </is>
      </c>
      <c r="K202" s="23" t="inlineStr"/>
      <c r="L202" s="23" t="inlineStr"/>
      <c r="M202" s="23" t="n"/>
    </row>
    <row r="203">
      <c r="A203" s="26" t="n">
        <v>106</v>
      </c>
      <c r="B203" s="23" t="inlineStr">
        <is>
          <t>4104586</t>
        </is>
      </c>
      <c r="C203" s="23" t="inlineStr">
        <is>
          <t>Sleeve Spline Fan Drive</t>
        </is>
      </c>
      <c r="D203" s="23" t="inlineStr"/>
      <c r="E203" s="27" t="n"/>
      <c r="F203" s="9" t="n">
        <v>7789.828</v>
      </c>
      <c r="G203" s="9">
        <f>E203*F203</f>
        <v/>
      </c>
      <c r="H203" s="9" t="n">
        <v>6231.86</v>
      </c>
      <c r="I203" s="9">
        <f>E203*H203</f>
        <v/>
      </c>
      <c r="J203" s="23" t="inlineStr">
        <is>
          <t>derived_estimate</t>
        </is>
      </c>
      <c r="K203" s="23" t="inlineStr">
        <is>
          <t>Derived from published reference Rs 7,789.83 by stripping 10% overhead + 15% margin (÷1.250).</t>
        </is>
      </c>
      <c r="L203" s="23" t="inlineStr"/>
      <c r="M203" s="23" t="n"/>
    </row>
    <row r="204">
      <c r="A204" s="26" t="n">
        <v>107</v>
      </c>
      <c r="B204" s="23" t="inlineStr">
        <is>
          <t>4348442</t>
        </is>
      </c>
      <c r="C204" s="23" t="inlineStr">
        <is>
          <t>Fan Engine</t>
        </is>
      </c>
      <c r="D204" s="23" t="inlineStr"/>
      <c r="E204" s="27" t="n"/>
      <c r="F204" s="9" t="n">
        <v>62925.36</v>
      </c>
      <c r="G204" s="9">
        <f>E204*F204</f>
        <v/>
      </c>
      <c r="H204" s="9" t="n">
        <v>50340.29</v>
      </c>
      <c r="I204" s="9">
        <f>E204*H204</f>
        <v/>
      </c>
      <c r="J204" s="23" t="inlineStr">
        <is>
          <t>derived_estimate</t>
        </is>
      </c>
      <c r="K204" s="23" t="inlineStr">
        <is>
          <t>Derived from published reference Rs 62,925.36 by stripping 10% overhead + 15% margin (÷1.250).</t>
        </is>
      </c>
      <c r="L204" s="23" t="inlineStr"/>
      <c r="M204" s="23" t="n"/>
    </row>
    <row r="205">
      <c r="A205" s="26" t="n">
        <v>108</v>
      </c>
      <c r="B205" s="23" t="inlineStr">
        <is>
          <t>4398336</t>
        </is>
      </c>
      <c r="C205" s="23" t="inlineStr">
        <is>
          <t>Valve Oil Control</t>
        </is>
      </c>
      <c r="D205" s="23" t="inlineStr"/>
      <c r="E205" s="27" t="n"/>
      <c r="F205" s="9" t="n">
        <v>114044.3</v>
      </c>
      <c r="G205" s="9">
        <f>E205*F205</f>
        <v/>
      </c>
      <c r="H205" s="9" t="n">
        <v>91235.44</v>
      </c>
      <c r="I205" s="9">
        <f>E205*H205</f>
        <v/>
      </c>
      <c r="J205" s="23" t="inlineStr">
        <is>
          <t>derived_estimate</t>
        </is>
      </c>
      <c r="K205" s="23" t="inlineStr">
        <is>
          <t>Derived from published reference Rs 114,044.30 by stripping 10% overhead + 15% margin (÷1.250).</t>
        </is>
      </c>
      <c r="L205" s="23" t="inlineStr"/>
      <c r="M205" s="23" t="n"/>
    </row>
    <row r="206">
      <c r="A206" s="26" t="n">
        <v>109</v>
      </c>
      <c r="B206" s="23" t="inlineStr">
        <is>
          <t>4398340</t>
        </is>
      </c>
      <c r="C206" s="23" t="inlineStr">
        <is>
          <t>Filter Hydraulic Oil</t>
        </is>
      </c>
      <c r="D206" s="23" t="inlineStr"/>
      <c r="E206" s="27" t="n"/>
      <c r="F206" s="9" t="n">
        <v>102923.1</v>
      </c>
      <c r="G206" s="9">
        <f>E206*F206</f>
        <v/>
      </c>
      <c r="H206" s="9" t="n">
        <v>82338.48</v>
      </c>
      <c r="I206" s="9">
        <f>E206*H206</f>
        <v/>
      </c>
      <c r="J206" s="23" t="inlineStr">
        <is>
          <t>derived_estimate</t>
        </is>
      </c>
      <c r="K206" s="23" t="inlineStr">
        <is>
          <t>Derived from published reference Rs 102,923.10 by stripping 10% overhead + 15% margin (÷1.250).</t>
        </is>
      </c>
      <c r="L206" s="23" t="inlineStr"/>
      <c r="M206" s="23" t="n"/>
    </row>
    <row r="207">
      <c r="A207" s="26" t="n">
        <v>110</v>
      </c>
      <c r="B207" s="23" t="inlineStr">
        <is>
          <t>4398339</t>
        </is>
      </c>
      <c r="C207" s="23" t="inlineStr">
        <is>
          <t>Valve Check</t>
        </is>
      </c>
      <c r="D207" s="23" t="inlineStr"/>
      <c r="E207" s="27" t="n"/>
      <c r="F207" s="9" t="n">
        <v>23168.47</v>
      </c>
      <c r="G207" s="9">
        <f>E207*F207</f>
        <v/>
      </c>
      <c r="H207" s="9" t="n">
        <v>18534.78</v>
      </c>
      <c r="I207" s="9">
        <f>E207*H207</f>
        <v/>
      </c>
      <c r="J207" s="23" t="inlineStr">
        <is>
          <t>derived_estimate</t>
        </is>
      </c>
      <c r="K207" s="23" t="inlineStr">
        <is>
          <t>Derived from published reference Rs 23,168.47 by stripping 10% overhead + 15% margin (÷1.250).</t>
        </is>
      </c>
      <c r="L207" s="23" t="inlineStr"/>
      <c r="M207" s="23" t="n"/>
    </row>
    <row r="208">
      <c r="A208" s="26" t="n">
        <v>111</v>
      </c>
      <c r="B208" s="23" t="inlineStr">
        <is>
          <t>4398345</t>
        </is>
      </c>
      <c r="C208" s="23" t="inlineStr">
        <is>
          <t>Valve Check</t>
        </is>
      </c>
      <c r="D208" s="23" t="inlineStr"/>
      <c r="E208" s="27" t="n"/>
      <c r="F208" s="9" t="n">
        <v>12045.03</v>
      </c>
      <c r="G208" s="9">
        <f>E208*F208</f>
        <v/>
      </c>
      <c r="H208" s="9" t="n">
        <v>9636.02</v>
      </c>
      <c r="I208" s="9">
        <f>E208*H208</f>
        <v/>
      </c>
      <c r="J208" s="23" t="inlineStr">
        <is>
          <t>derived_estimate</t>
        </is>
      </c>
      <c r="K208" s="23" t="inlineStr">
        <is>
          <t>Derived from published reference Rs 12,045.03 by stripping 10% overhead + 15% margin (÷1.250).</t>
        </is>
      </c>
      <c r="L208" s="23" t="inlineStr"/>
      <c r="M208" s="23" t="n"/>
    </row>
    <row r="209">
      <c r="A209" s="26" t="n">
        <v>112</v>
      </c>
      <c r="B209" s="23" t="inlineStr">
        <is>
          <t>A064K373</t>
        </is>
      </c>
      <c r="C209" s="23" t="inlineStr">
        <is>
          <t>Flexible Coupling (Poona)</t>
        </is>
      </c>
      <c r="D209" s="23" t="inlineStr"/>
      <c r="E209" s="27" t="n"/>
      <c r="F209" s="9" t="n">
        <v>195138.1</v>
      </c>
      <c r="G209" s="9">
        <f>E209*F209</f>
        <v/>
      </c>
      <c r="H209" s="9" t="n">
        <v>156110.48</v>
      </c>
      <c r="I209" s="9">
        <f>E209*H209</f>
        <v/>
      </c>
      <c r="J209" s="23" t="inlineStr">
        <is>
          <t>derived_estimate</t>
        </is>
      </c>
      <c r="K209" s="23" t="inlineStr">
        <is>
          <t>Derived from published reference Rs 195,138.10 by stripping 10% overhead + 15% margin (÷1.250).</t>
        </is>
      </c>
      <c r="L209" s="23" t="inlineStr"/>
      <c r="M209" s="23" t="n"/>
    </row>
    <row r="210">
      <c r="A210" s="26" t="n">
        <v>113</v>
      </c>
      <c r="B210" s="23" t="inlineStr">
        <is>
          <t>3093932</t>
        </is>
      </c>
      <c r="C210" s="23" t="inlineStr">
        <is>
          <t>Screw Hexagon Head Cap</t>
        </is>
      </c>
      <c r="D210" s="23" t="inlineStr"/>
      <c r="E210" s="27" t="n"/>
      <c r="F210" s="9" t="n">
        <v>159.4185</v>
      </c>
      <c r="G210" s="9">
        <f>E210*F210</f>
        <v/>
      </c>
      <c r="H210" s="9" t="n">
        <v>127.53</v>
      </c>
      <c r="I210" s="9">
        <f>E210*H210</f>
        <v/>
      </c>
      <c r="J210" s="23" t="inlineStr">
        <is>
          <t>derived_estimate</t>
        </is>
      </c>
      <c r="K210" s="23" t="inlineStr">
        <is>
          <t>Derived from published reference Rs 159.42 by stripping 10% overhead + 15% margin (÷1.250).</t>
        </is>
      </c>
      <c r="L210" s="23" t="inlineStr"/>
      <c r="M210" s="23" t="n"/>
    </row>
    <row r="211">
      <c r="A211" s="26" t="n">
        <v>114</v>
      </c>
      <c r="B211" s="23" t="inlineStr">
        <is>
          <t>3875875</t>
        </is>
      </c>
      <c r="C211" s="23" t="inlineStr">
        <is>
          <t>Actuator</t>
        </is>
      </c>
      <c r="D211" s="23" t="inlineStr"/>
      <c r="E211" s="27" t="n"/>
      <c r="F211" s="9" t="n">
        <v>436290.9</v>
      </c>
      <c r="G211" s="9">
        <f>E211*F211</f>
        <v/>
      </c>
      <c r="H211" s="9" t="n">
        <v>349032.72</v>
      </c>
      <c r="I211" s="9">
        <f>E211*H211</f>
        <v/>
      </c>
      <c r="J211" s="23" t="inlineStr">
        <is>
          <t>derived_estimate</t>
        </is>
      </c>
      <c r="K211" s="23" t="inlineStr">
        <is>
          <t>Derived from published reference Rs 436,290.90 by stripping 10% overhead + 15% margin (÷1.250).</t>
        </is>
      </c>
      <c r="L211" s="23" t="inlineStr"/>
      <c r="M211" s="23" t="n"/>
    </row>
    <row r="212">
      <c r="A212" s="26" t="n">
        <v>115</v>
      </c>
      <c r="B212" s="23" t="inlineStr">
        <is>
          <t>3167063</t>
        </is>
      </c>
      <c r="C212" s="23" t="inlineStr">
        <is>
          <t>Control Governor</t>
        </is>
      </c>
      <c r="D212" s="23" t="inlineStr"/>
      <c r="E212" s="27" t="n"/>
      <c r="F212" s="9" t="n">
        <v>637114.0699999999</v>
      </c>
      <c r="G212" s="9">
        <f>E212*F212</f>
        <v/>
      </c>
      <c r="H212" s="9" t="n">
        <v>509691.26</v>
      </c>
      <c r="I212" s="9">
        <f>E212*H212</f>
        <v/>
      </c>
      <c r="J212" s="23" t="inlineStr">
        <is>
          <t>derived_estimate</t>
        </is>
      </c>
      <c r="K212" s="23" t="inlineStr">
        <is>
          <t>Derived from published reference Rs 637,114.07 by stripping 10% overhead + 15% margin (÷1.250).</t>
        </is>
      </c>
      <c r="L212" s="23" t="inlineStr"/>
      <c r="M212" s="23" t="n"/>
    </row>
    <row r="213">
      <c r="A213" s="26" t="n">
        <v>116</v>
      </c>
      <c r="B213" s="23" t="inlineStr">
        <is>
          <t>3167062</t>
        </is>
      </c>
      <c r="C213" s="23" t="inlineStr">
        <is>
          <t>Amplifier Power</t>
        </is>
      </c>
      <c r="D213" s="23" t="inlineStr"/>
      <c r="E213" s="27" t="n"/>
      <c r="F213" s="9" t="n">
        <v>331567.05</v>
      </c>
      <c r="G213" s="9">
        <f>E213*F213</f>
        <v/>
      </c>
      <c r="H213" s="9" t="n">
        <v>265253.64</v>
      </c>
      <c r="I213" s="9">
        <f>E213*H213</f>
        <v/>
      </c>
      <c r="J213" s="23" t="inlineStr">
        <is>
          <t>derived_estimate</t>
        </is>
      </c>
      <c r="K213" s="23" t="inlineStr">
        <is>
          <t>Derived from published reference Rs 331,567.05 by stripping 10% overhead + 15% margin (÷1.250).</t>
        </is>
      </c>
      <c r="L213" s="23" t="inlineStr"/>
      <c r="M213" s="23" t="n"/>
    </row>
    <row r="214">
      <c r="A214" s="26" t="n">
        <v>117</v>
      </c>
      <c r="B214" s="23" t="inlineStr">
        <is>
          <t>3254240</t>
        </is>
      </c>
      <c r="C214" s="23" t="inlineStr">
        <is>
          <t>Elbow Tube Connector</t>
        </is>
      </c>
      <c r="D214" s="23" t="inlineStr"/>
      <c r="E214" s="27" t="n"/>
      <c r="F214" s="9" t="n">
        <v>17664.68</v>
      </c>
      <c r="G214" s="9">
        <f>E214*F214</f>
        <v/>
      </c>
      <c r="H214" s="9" t="n">
        <v>14131.74</v>
      </c>
      <c r="I214" s="9">
        <f>E214*H214</f>
        <v/>
      </c>
      <c r="J214" s="23" t="inlineStr">
        <is>
          <t>derived_estimate</t>
        </is>
      </c>
      <c r="K214" s="23" t="inlineStr">
        <is>
          <t>Derived from published reference Rs 17,664.68 by stripping 10% overhead + 15% margin (÷1.250).</t>
        </is>
      </c>
      <c r="L214" s="23" t="inlineStr"/>
      <c r="M214" s="23" t="n"/>
    </row>
    <row r="215">
      <c r="A215" s="26" t="n">
        <v>118</v>
      </c>
      <c r="B215" s="23" t="inlineStr">
        <is>
          <t>3254245</t>
        </is>
      </c>
      <c r="C215" s="23" t="inlineStr">
        <is>
          <t>Connector Tube</t>
        </is>
      </c>
      <c r="D215" s="23" t="inlineStr"/>
      <c r="E215" s="27" t="n"/>
      <c r="F215" s="9" t="n">
        <v>34832.07</v>
      </c>
      <c r="G215" s="9">
        <f>E215*F215</f>
        <v/>
      </c>
      <c r="H215" s="9" t="n">
        <v>27865.66</v>
      </c>
      <c r="I215" s="9">
        <f>E215*H215</f>
        <v/>
      </c>
      <c r="J215" s="23" t="inlineStr">
        <is>
          <t>derived_estimate</t>
        </is>
      </c>
      <c r="K215" s="23" t="inlineStr">
        <is>
          <t>Derived from published reference Rs 34,832.07 by stripping 10% overhead + 15% margin (÷1.250).</t>
        </is>
      </c>
      <c r="L215" s="23" t="inlineStr"/>
      <c r="M215" s="23" t="n"/>
    </row>
    <row r="216">
      <c r="A216" s="26" t="n">
        <v>119</v>
      </c>
      <c r="B216" s="23" t="inlineStr">
        <is>
          <t>3134285</t>
        </is>
      </c>
      <c r="C216" s="23" t="inlineStr">
        <is>
          <t>Gasket</t>
        </is>
      </c>
      <c r="D216" s="23" t="inlineStr"/>
      <c r="E216" s="27" t="n"/>
      <c r="F216" s="9" t="n">
        <v>247.7702</v>
      </c>
      <c r="G216" s="9">
        <f>E216*F216</f>
        <v/>
      </c>
      <c r="H216" s="9" t="n">
        <v>198.22</v>
      </c>
      <c r="I216" s="9">
        <f>E216*H216</f>
        <v/>
      </c>
      <c r="J216" s="23" t="inlineStr">
        <is>
          <t>derived_estimate</t>
        </is>
      </c>
      <c r="K216" s="23" t="inlineStr">
        <is>
          <t>Derived from published reference Rs 247.77 by stripping 10% overhead + 15% margin (÷1.250).</t>
        </is>
      </c>
      <c r="L216" s="23" t="inlineStr"/>
      <c r="M216" s="23" t="n"/>
    </row>
    <row r="217">
      <c r="A217" s="26" t="n">
        <v>120</v>
      </c>
      <c r="B217" s="23" t="inlineStr">
        <is>
          <t>3254674</t>
        </is>
      </c>
      <c r="C217" s="23" t="inlineStr">
        <is>
          <t>Flange</t>
        </is>
      </c>
      <c r="D217" s="23" t="inlineStr"/>
      <c r="E217" s="27" t="n"/>
      <c r="F217" s="9" t="n">
        <v>4340.68</v>
      </c>
      <c r="G217" s="9">
        <f>E217*F217</f>
        <v/>
      </c>
      <c r="H217" s="9" t="n">
        <v>3472.54</v>
      </c>
      <c r="I217" s="9">
        <f>E217*H217</f>
        <v/>
      </c>
      <c r="J217" s="23" t="inlineStr">
        <is>
          <t>derived_estimate</t>
        </is>
      </c>
      <c r="K217" s="23" t="inlineStr">
        <is>
          <t>Derived from published reference Rs 4,340.68 by stripping 10% overhead + 15% margin (÷1.250).</t>
        </is>
      </c>
      <c r="L217" s="23" t="inlineStr"/>
      <c r="M217" s="23" t="n"/>
    </row>
    <row r="218">
      <c r="A218" s="26" t="n">
        <v>121</v>
      </c>
      <c r="B218" s="23" t="inlineStr">
        <is>
          <t>3254673</t>
        </is>
      </c>
      <c r="C218" s="23" t="inlineStr">
        <is>
          <t>Tube Lube Oil</t>
        </is>
      </c>
      <c r="D218" s="23" t="inlineStr"/>
      <c r="E218" s="27" t="n"/>
      <c r="F218" s="9" t="n">
        <v>25938.68</v>
      </c>
      <c r="G218" s="9">
        <f>E218*F218</f>
        <v/>
      </c>
      <c r="H218" s="9" t="n">
        <v>20750.94</v>
      </c>
      <c r="I218" s="9">
        <f>E218*H218</f>
        <v/>
      </c>
      <c r="J218" s="23" t="inlineStr">
        <is>
          <t>derived_estimate</t>
        </is>
      </c>
      <c r="K218" s="23" t="inlineStr">
        <is>
          <t>Derived from published reference Rs 25,938.68 by stripping 10% overhead + 15% margin (÷1.250).</t>
        </is>
      </c>
      <c r="L218" s="23" t="inlineStr"/>
      <c r="M218" s="23" t="n"/>
    </row>
    <row r="219">
      <c r="A219" s="26" t="n">
        <v>122</v>
      </c>
      <c r="B219" s="23" t="inlineStr">
        <is>
          <t>3264349</t>
        </is>
      </c>
      <c r="C219" s="23" t="inlineStr">
        <is>
          <t>Pump Water and Idler</t>
        </is>
      </c>
      <c r="D219" s="23" t="inlineStr"/>
      <c r="E219" s="27" t="n"/>
      <c r="F219" s="9" t="n">
        <v>74948.14</v>
      </c>
      <c r="G219" s="9">
        <f>E219*F219</f>
        <v/>
      </c>
      <c r="H219" s="9" t="n">
        <v>59958.51</v>
      </c>
      <c r="I219" s="9">
        <f>E219*H219</f>
        <v/>
      </c>
      <c r="J219" s="23" t="inlineStr">
        <is>
          <t>derived_estimate</t>
        </is>
      </c>
      <c r="K219" s="23" t="inlineStr">
        <is>
          <t>Derived from published reference Rs 74,948.14 by stripping 10% overhead + 15% margin (÷1.250).</t>
        </is>
      </c>
      <c r="L219" s="23" t="inlineStr"/>
      <c r="M219" s="23" t="n"/>
    </row>
    <row r="220">
      <c r="A220" s="26" t="n">
        <v>123</v>
      </c>
      <c r="B220" s="23" t="inlineStr">
        <is>
          <t>3002385</t>
        </is>
      </c>
      <c r="C220" s="23" t="inlineStr">
        <is>
          <t>Gasket Water Pump</t>
        </is>
      </c>
      <c r="D220" s="23" t="inlineStr"/>
      <c r="E220" s="27" t="n"/>
      <c r="F220" s="9" t="n">
        <v>79.48999999999999</v>
      </c>
      <c r="G220" s="9">
        <f>E220*F220</f>
        <v/>
      </c>
      <c r="H220" s="9" t="n">
        <v>63.59</v>
      </c>
      <c r="I220" s="9">
        <f>E220*H220</f>
        <v/>
      </c>
      <c r="J220" s="23" t="inlineStr">
        <is>
          <t>derived_estimate</t>
        </is>
      </c>
      <c r="K220" s="23" t="inlineStr">
        <is>
          <t>Derived from published reference Rs 79.49 by stripping 10% overhead + 15% margin (÷1.250).</t>
        </is>
      </c>
      <c r="L220" s="23" t="inlineStr"/>
      <c r="M220" s="23" t="n"/>
    </row>
    <row r="221">
      <c r="A221" s="26" t="n">
        <v>124</v>
      </c>
      <c r="B221" s="23" t="inlineStr">
        <is>
          <t>212161</t>
        </is>
      </c>
      <c r="C221" s="23" t="inlineStr">
        <is>
          <t>Seal 'O' Ring</t>
        </is>
      </c>
      <c r="D221" s="23" t="inlineStr"/>
      <c r="E221" s="27" t="n"/>
      <c r="F221" s="9" t="n">
        <v>235.2445</v>
      </c>
      <c r="G221" s="9">
        <f>E221*F221</f>
        <v/>
      </c>
      <c r="H221" s="9" t="n">
        <v>188.2</v>
      </c>
      <c r="I221" s="9">
        <f>E221*H221</f>
        <v/>
      </c>
      <c r="J221" s="23" t="inlineStr">
        <is>
          <t>derived_estimate</t>
        </is>
      </c>
      <c r="K221" s="23" t="inlineStr">
        <is>
          <t>Derived from published reference Rs 235.24 by stripping 10% overhead + 15% margin (÷1.250).</t>
        </is>
      </c>
      <c r="L221" s="23" t="inlineStr"/>
      <c r="M221" s="23" t="n"/>
    </row>
    <row r="222">
      <c r="A222" s="26" t="n">
        <v>125</v>
      </c>
      <c r="B222" s="23" t="inlineStr">
        <is>
          <t>43463 A</t>
        </is>
      </c>
      <c r="C222" s="23" t="inlineStr">
        <is>
          <t>Seal 'O' Ring</t>
        </is>
      </c>
      <c r="D222" s="23" t="inlineStr"/>
      <c r="E222" s="27" t="n"/>
      <c r="F222" s="9" t="n">
        <v>187.27</v>
      </c>
      <c r="G222" s="9">
        <f>E222*F222</f>
        <v/>
      </c>
      <c r="H222" s="9" t="n">
        <v>149.82</v>
      </c>
      <c r="I222" s="9">
        <f>E222*H222</f>
        <v/>
      </c>
      <c r="J222" s="23" t="inlineStr">
        <is>
          <t>derived_estimate</t>
        </is>
      </c>
      <c r="K222" s="23" t="inlineStr">
        <is>
          <t>Derived from published reference Rs 187.27 by stripping 10% overhead + 15% margin (÷1.250).</t>
        </is>
      </c>
      <c r="L222" s="23" t="inlineStr"/>
      <c r="M222" s="23" t="n"/>
    </row>
    <row r="223">
      <c r="A223" s="26" t="n">
        <v>126</v>
      </c>
      <c r="B223" s="23" t="inlineStr">
        <is>
          <t>2884924</t>
        </is>
      </c>
      <c r="C223" s="23" t="inlineStr">
        <is>
          <t>Flange Gasket</t>
        </is>
      </c>
      <c r="D223" s="23" t="inlineStr"/>
      <c r="E223" s="27" t="n"/>
      <c r="F223" s="9" t="n">
        <v>216.62</v>
      </c>
      <c r="G223" s="9">
        <f>E223*F223</f>
        <v/>
      </c>
      <c r="H223" s="9" t="n">
        <v>173.3</v>
      </c>
      <c r="I223" s="9">
        <f>E223*H223</f>
        <v/>
      </c>
      <c r="J223" s="23" t="inlineStr">
        <is>
          <t>derived_estimate</t>
        </is>
      </c>
      <c r="K223" s="23" t="inlineStr">
        <is>
          <t>Derived from published reference Rs 216.62 by stripping 10% overhead + 15% margin (÷1.250).</t>
        </is>
      </c>
      <c r="L223" s="23" t="inlineStr"/>
      <c r="M223" s="23" t="n"/>
    </row>
    <row r="224">
      <c r="A224" s="26" t="n">
        <v>127</v>
      </c>
      <c r="B224" s="23" t="inlineStr">
        <is>
          <t>SH40C2300</t>
        </is>
      </c>
      <c r="C224" s="23" t="inlineStr">
        <is>
          <t>Set of Diodes Rotating Assy (150 LMR)</t>
        </is>
      </c>
      <c r="D224" s="23" t="inlineStr"/>
      <c r="E224" s="27" t="n"/>
      <c r="F224" s="9" t="n">
        <v>35133.39</v>
      </c>
      <c r="G224" s="9">
        <f>E224*F224</f>
        <v/>
      </c>
      <c r="H224" s="9" t="n">
        <v>28106.71</v>
      </c>
      <c r="I224" s="9">
        <f>E224*H224</f>
        <v/>
      </c>
      <c r="J224" s="23" t="inlineStr">
        <is>
          <t>derived_estimate</t>
        </is>
      </c>
      <c r="K224" s="23" t="inlineStr">
        <is>
          <t>Derived from published reference Rs 35,133.39 by stripping 10% overhead + 15% margin (÷1.250).</t>
        </is>
      </c>
      <c r="L224" s="23" t="inlineStr"/>
      <c r="M224" s="23" t="n"/>
    </row>
    <row r="225">
      <c r="A225" s="26" t="n">
        <v>128</v>
      </c>
      <c r="B225" s="23" t="inlineStr">
        <is>
          <t>MN022E</t>
        </is>
      </c>
      <c r="C225" s="23" t="inlineStr">
        <is>
          <t>D.C. Contactor Type MN022E – 110V D.C Coil</t>
        </is>
      </c>
      <c r="D225" s="23" t="inlineStr"/>
      <c r="E225" s="27" t="n"/>
      <c r="F225" s="9" t="n">
        <v>6468</v>
      </c>
      <c r="G225" s="9">
        <f>E225*F225</f>
        <v/>
      </c>
      <c r="H225" s="9" t="n">
        <v>3000</v>
      </c>
      <c r="I225" s="9">
        <f>E225*H225</f>
        <v/>
      </c>
      <c r="J225" s="23" t="inlineStr">
        <is>
          <t>web_search</t>
        </is>
      </c>
      <c r="K225" s="23" t="inlineStr"/>
      <c r="L225" s="23" t="inlineStr"/>
      <c r="M225" s="23" t="n"/>
    </row>
    <row r="226">
      <c r="A226" s="26" t="n">
        <v>129</v>
      </c>
      <c r="B226" s="23" t="inlineStr">
        <is>
          <t>3590</t>
        </is>
      </c>
      <c r="C226" s="23" t="inlineStr">
        <is>
          <t>10T Potentiometer 10K, 1W, 10T (fan speed control)</t>
        </is>
      </c>
      <c r="D226" s="23" t="inlineStr"/>
      <c r="E226" s="27" t="n"/>
      <c r="F226" s="9" t="n">
        <v>998</v>
      </c>
      <c r="G226" s="9">
        <f>E226*F226</f>
        <v/>
      </c>
      <c r="H226" s="9" t="n">
        <v>100</v>
      </c>
      <c r="I226" s="9">
        <f>E226*H226</f>
        <v/>
      </c>
      <c r="J226" s="23" t="inlineStr">
        <is>
          <t>web_search</t>
        </is>
      </c>
      <c r="K226" s="23" t="inlineStr"/>
      <c r="L226" s="23" t="inlineStr"/>
      <c r="M226" s="23" t="n"/>
    </row>
    <row r="227">
      <c r="A227" s="26" t="n">
        <v>130</v>
      </c>
      <c r="B227" s="23" t="inlineStr">
        <is>
          <t>10/300</t>
        </is>
      </c>
      <c r="C227" s="23" t="inlineStr">
        <is>
          <t>Hand Lamp Socket 10 Amp, 3-pin</t>
        </is>
      </c>
      <c r="D227" s="23" t="inlineStr"/>
      <c r="E227" s="27" t="n"/>
      <c r="F227" s="9" t="n">
        <v>641.45</v>
      </c>
      <c r="G227" s="9">
        <f>E227*F227</f>
        <v/>
      </c>
      <c r="H227" s="9" t="n">
        <v>250</v>
      </c>
      <c r="I227" s="9">
        <f>E227*H227</f>
        <v/>
      </c>
      <c r="J227" s="23" t="inlineStr">
        <is>
          <t>web_search</t>
        </is>
      </c>
      <c r="K227" s="23" t="inlineStr"/>
      <c r="L227" s="23" t="inlineStr"/>
      <c r="M227" s="23" t="n"/>
    </row>
    <row r="228">
      <c r="A228" s="26" t="n">
        <v>131</v>
      </c>
      <c r="B228" s="23" t="inlineStr">
        <is>
          <t>SCH-11</t>
        </is>
      </c>
      <c r="C228" s="23" t="inlineStr">
        <is>
          <t>Miniature Circuit Breaker (MCB) Schneider</t>
        </is>
      </c>
      <c r="D228" s="23" t="inlineStr"/>
      <c r="E228" s="27" t="n"/>
      <c r="F228" s="9" t="n">
        <v>1900.759</v>
      </c>
      <c r="G228" s="9">
        <f>E228*F228</f>
        <v/>
      </c>
      <c r="H228" s="9" t="n">
        <v>1900</v>
      </c>
      <c r="I228" s="9">
        <f>E228*H228</f>
        <v/>
      </c>
      <c r="J228" s="23" t="inlineStr">
        <is>
          <t>web_search</t>
        </is>
      </c>
      <c r="K228" s="23" t="inlineStr"/>
      <c r="L228" s="23" t="inlineStr"/>
      <c r="M228" s="23" t="n"/>
    </row>
    <row r="229">
      <c r="A229" s="26" t="n">
        <v>132</v>
      </c>
      <c r="B229" s="23" t="inlineStr">
        <is>
          <t>SCH-12</t>
        </is>
      </c>
      <c r="C229" s="23" t="inlineStr">
        <is>
          <t>MCB Schneider 5 Amp</t>
        </is>
      </c>
      <c r="D229" s="23" t="inlineStr"/>
      <c r="E229" s="27" t="n"/>
      <c r="F229" s="9" t="n">
        <v>1900.759</v>
      </c>
      <c r="G229" s="9">
        <f>E229*F229</f>
        <v/>
      </c>
      <c r="H229" s="9" t="n">
        <v>1900</v>
      </c>
      <c r="I229" s="9">
        <f>E229*H229</f>
        <v/>
      </c>
      <c r="J229" s="23" t="inlineStr">
        <is>
          <t>web_search</t>
        </is>
      </c>
      <c r="K229" s="23" t="inlineStr"/>
      <c r="L229" s="23" t="inlineStr"/>
      <c r="M229" s="23" t="n"/>
    </row>
    <row r="230">
      <c r="A230" s="26" t="n">
        <v>133</v>
      </c>
      <c r="B230" s="23" t="inlineStr">
        <is>
          <t>SCH-13</t>
        </is>
      </c>
      <c r="C230" s="23" t="inlineStr">
        <is>
          <t>MCB Schneider 10 Amp</t>
        </is>
      </c>
      <c r="D230" s="23" t="inlineStr"/>
      <c r="E230" s="27" t="n"/>
      <c r="F230" s="9" t="n">
        <v>1900.759</v>
      </c>
      <c r="G230" s="9">
        <f>E230*F230</f>
        <v/>
      </c>
      <c r="H230" s="9" t="n">
        <v>1900</v>
      </c>
      <c r="I230" s="9">
        <f>E230*H230</f>
        <v/>
      </c>
      <c r="J230" s="23" t="inlineStr">
        <is>
          <t>web_search</t>
        </is>
      </c>
      <c r="K230" s="23" t="inlineStr"/>
      <c r="L230" s="23" t="inlineStr"/>
      <c r="M230" s="23" t="n"/>
    </row>
    <row r="231">
      <c r="A231" s="26" t="n">
        <v>134</v>
      </c>
      <c r="B231" s="23" t="inlineStr">
        <is>
          <t>SCH-14</t>
        </is>
      </c>
      <c r="C231" s="23" t="inlineStr">
        <is>
          <t>MCB Schneider 15 Amp</t>
        </is>
      </c>
      <c r="D231" s="23" t="inlineStr"/>
      <c r="E231" s="27" t="n"/>
      <c r="F231" s="9" t="n">
        <v>3965.025</v>
      </c>
      <c r="G231" s="9">
        <f>E231*F231</f>
        <v/>
      </c>
      <c r="H231" s="9" t="n">
        <v>3965</v>
      </c>
      <c r="I231" s="9">
        <f>E231*H231</f>
        <v/>
      </c>
      <c r="J231" s="23" t="inlineStr">
        <is>
          <t>web_search</t>
        </is>
      </c>
      <c r="K231" s="23" t="inlineStr"/>
      <c r="L231" s="23" t="inlineStr"/>
      <c r="M231" s="23" t="n"/>
    </row>
    <row r="232">
      <c r="A232" s="26" t="n">
        <v>135</v>
      </c>
      <c r="B232" s="23" t="inlineStr">
        <is>
          <t>SCH-15</t>
        </is>
      </c>
      <c r="C232" s="23" t="inlineStr">
        <is>
          <t>MCB Schneider 30 Amp</t>
        </is>
      </c>
      <c r="D232" s="23" t="inlineStr"/>
      <c r="E232" s="27" t="n"/>
      <c r="F232" s="9" t="n">
        <v>4318.607</v>
      </c>
      <c r="G232" s="9">
        <f>E232*F232</f>
        <v/>
      </c>
      <c r="H232" s="9" t="n">
        <v>4319</v>
      </c>
      <c r="I232" s="9">
        <f>E232*H232</f>
        <v/>
      </c>
      <c r="J232" s="23" t="inlineStr">
        <is>
          <t>web_search</t>
        </is>
      </c>
      <c r="K232" s="23" t="inlineStr"/>
      <c r="L232" s="23" t="inlineStr"/>
      <c r="M232" s="23" t="n"/>
    </row>
    <row r="233">
      <c r="A233" s="26" t="n">
        <v>136</v>
      </c>
      <c r="B233" s="23" t="inlineStr">
        <is>
          <t>AX1017136</t>
        </is>
      </c>
      <c r="C233" s="23" t="inlineStr">
        <is>
          <t>Master Controller</t>
        </is>
      </c>
      <c r="D233" s="23" t="inlineStr"/>
      <c r="E233" s="27" t="n"/>
      <c r="F233" s="9" t="n">
        <v>539326.4</v>
      </c>
      <c r="G233" s="9">
        <f>E233*F233</f>
        <v/>
      </c>
      <c r="H233" s="9" t="n">
        <v>431461.12</v>
      </c>
      <c r="I233" s="9">
        <f>E233*H233</f>
        <v/>
      </c>
      <c r="J233" s="23" t="inlineStr">
        <is>
          <t>derived_estimate</t>
        </is>
      </c>
      <c r="K233" s="23" t="inlineStr">
        <is>
          <t>Derived from published reference Rs 539,326.40 by stripping 10% overhead + 15% margin (÷1.250).</t>
        </is>
      </c>
      <c r="L233" s="23" t="inlineStr"/>
      <c r="M233" s="23" t="n"/>
    </row>
    <row r="234">
      <c r="A234" s="26" t="n">
        <v>137</v>
      </c>
      <c r="B234" s="23" t="inlineStr">
        <is>
          <t>AX1017138</t>
        </is>
      </c>
      <c r="C234" s="23" t="inlineStr">
        <is>
          <t>BL Type Driver's Control Switch Box</t>
        </is>
      </c>
      <c r="D234" s="23" t="inlineStr"/>
      <c r="E234" s="27" t="n"/>
      <c r="F234" s="9" t="n">
        <v>473430.6</v>
      </c>
      <c r="G234" s="9">
        <f>E234*F234</f>
        <v/>
      </c>
      <c r="H234" s="9" t="n">
        <v>378744.48</v>
      </c>
      <c r="I234" s="9">
        <f>E234*H234</f>
        <v/>
      </c>
      <c r="J234" s="23" t="inlineStr">
        <is>
          <t>derived_estimate</t>
        </is>
      </c>
      <c r="K234" s="23" t="inlineStr">
        <is>
          <t>Derived from published reference Rs 473,430.60 by stripping 10% overhead + 15% margin (÷1.250).</t>
        </is>
      </c>
      <c r="L234" s="23" t="inlineStr"/>
      <c r="M234" s="23" t="n"/>
    </row>
    <row r="235">
      <c r="A235" s="26" t="n">
        <v>138</v>
      </c>
      <c r="B235" s="23" t="inlineStr">
        <is>
          <t>AX1017142</t>
        </is>
      </c>
      <c r="C235" s="23" t="inlineStr">
        <is>
          <t>Diode</t>
        </is>
      </c>
      <c r="D235" s="23" t="inlineStr"/>
      <c r="E235" s="27" t="n"/>
      <c r="F235" s="9" t="n">
        <v>946.8759</v>
      </c>
      <c r="G235" s="9">
        <f>E235*F235</f>
        <v/>
      </c>
      <c r="H235" s="9" t="n">
        <v>757.5</v>
      </c>
      <c r="I235" s="9">
        <f>E235*H235</f>
        <v/>
      </c>
      <c r="J235" s="23" t="inlineStr">
        <is>
          <t>derived_estimate</t>
        </is>
      </c>
      <c r="K235" s="23" t="inlineStr">
        <is>
          <t>Derived from published reference Rs 946.88 by stripping 10% overhead + 15% margin (÷1.250).</t>
        </is>
      </c>
      <c r="L235" s="23" t="inlineStr"/>
      <c r="M235" s="23" t="n"/>
    </row>
    <row r="236">
      <c r="A236" s="26" t="n">
        <v>139</v>
      </c>
      <c r="B236" s="23" t="inlineStr">
        <is>
          <t>AX1017143</t>
        </is>
      </c>
      <c r="C236" s="23" t="inlineStr">
        <is>
          <t>Engine Control Switch</t>
        </is>
      </c>
      <c r="D236" s="23" t="inlineStr"/>
      <c r="E236" s="27" t="n"/>
      <c r="F236" s="9" t="n">
        <v>11269.66</v>
      </c>
      <c r="G236" s="9">
        <f>E236*F236</f>
        <v/>
      </c>
      <c r="H236" s="9" t="n">
        <v>9015.73</v>
      </c>
      <c r="I236" s="9">
        <f>E236*H236</f>
        <v/>
      </c>
      <c r="J236" s="23" t="inlineStr">
        <is>
          <t>derived_estimate</t>
        </is>
      </c>
      <c r="K236" s="23" t="inlineStr">
        <is>
          <t>Derived from published reference Rs 11,269.66 by stripping 10% overhead + 15% margin (÷1.250).</t>
        </is>
      </c>
      <c r="L236" s="23" t="inlineStr"/>
      <c r="M236" s="23" t="n"/>
    </row>
    <row r="237">
      <c r="A237" s="26" t="n">
        <v>140</v>
      </c>
      <c r="B237" s="23" t="inlineStr">
        <is>
          <t>AX1017148</t>
        </is>
      </c>
      <c r="C237" s="23" t="inlineStr">
        <is>
          <t>Toggle Switch Single Pole</t>
        </is>
      </c>
      <c r="D237" s="23" t="inlineStr"/>
      <c r="E237" s="27" t="n"/>
      <c r="F237" s="9" t="n">
        <v>42509.06</v>
      </c>
      <c r="G237" s="9">
        <f>E237*F237</f>
        <v/>
      </c>
      <c r="H237" s="9" t="n">
        <v>34007.25</v>
      </c>
      <c r="I237" s="9">
        <f>E237*H237</f>
        <v/>
      </c>
      <c r="J237" s="23" t="inlineStr">
        <is>
          <t>derived_estimate</t>
        </is>
      </c>
      <c r="K237" s="23" t="inlineStr">
        <is>
          <t>Derived from published reference Rs 42,509.06 by stripping 10% overhead + 15% margin (÷1.250).</t>
        </is>
      </c>
      <c r="L237" s="23" t="inlineStr"/>
      <c r="M237" s="23" t="n"/>
    </row>
    <row r="238">
      <c r="A238" s="26" t="n">
        <v>141</v>
      </c>
      <c r="B238" s="23" t="inlineStr">
        <is>
          <t>AX1017149</t>
        </is>
      </c>
      <c r="C238" s="23" t="inlineStr">
        <is>
          <t>Toggle Switch Double Pole</t>
        </is>
      </c>
      <c r="D238" s="23" t="inlineStr"/>
      <c r="E238" s="27" t="n"/>
      <c r="F238" s="9" t="n">
        <v>10707.17</v>
      </c>
      <c r="G238" s="9">
        <f>E238*F238</f>
        <v/>
      </c>
      <c r="H238" s="9" t="n">
        <v>8565.74</v>
      </c>
      <c r="I238" s="9">
        <f>E238*H238</f>
        <v/>
      </c>
      <c r="J238" s="23" t="inlineStr">
        <is>
          <t>derived_estimate</t>
        </is>
      </c>
      <c r="K238" s="23" t="inlineStr">
        <is>
          <t>Derived from published reference Rs 10,707.17 by stripping 10% overhead + 15% margin (÷1.250).</t>
        </is>
      </c>
      <c r="L238" s="23" t="inlineStr"/>
      <c r="M238" s="23" t="n"/>
    </row>
    <row r="239">
      <c r="A239" s="26" t="n">
        <v>142</v>
      </c>
      <c r="B239" s="23" t="inlineStr">
        <is>
          <t>AX1017150</t>
        </is>
      </c>
      <c r="C239" s="23" t="inlineStr">
        <is>
          <t>Emergency Cut-Off Push</t>
        </is>
      </c>
      <c r="D239" s="23" t="inlineStr"/>
      <c r="E239" s="27" t="n"/>
      <c r="F239" s="9" t="n">
        <v>14995.27</v>
      </c>
      <c r="G239" s="9">
        <f>E239*F239</f>
        <v/>
      </c>
      <c r="H239" s="9" t="n">
        <v>11996.22</v>
      </c>
      <c r="I239" s="9">
        <f>E239*H239</f>
        <v/>
      </c>
      <c r="J239" s="23" t="inlineStr">
        <is>
          <t>derived_estimate</t>
        </is>
      </c>
      <c r="K239" s="23" t="inlineStr">
        <is>
          <t>Derived from published reference Rs 14,995.27 by stripping 10% overhead + 15% margin (÷1.250).</t>
        </is>
      </c>
      <c r="L239" s="23" t="inlineStr"/>
      <c r="M239" s="23" t="n"/>
    </row>
    <row r="240">
      <c r="A240" s="26" t="n">
        <v>143</v>
      </c>
      <c r="B240" s="23" t="inlineStr">
        <is>
          <t>AX1017151</t>
        </is>
      </c>
      <c r="C240" s="23" t="inlineStr">
        <is>
          <t>Add-on Contact Block 2 NO + 2 NC</t>
        </is>
      </c>
      <c r="D240" s="23" t="inlineStr"/>
      <c r="E240" s="27" t="n"/>
      <c r="F240" s="9" t="n">
        <v>18047.71</v>
      </c>
      <c r="G240" s="9">
        <f>E240*F240</f>
        <v/>
      </c>
      <c r="H240" s="9" t="n">
        <v>14438.17</v>
      </c>
      <c r="I240" s="9">
        <f>E240*H240</f>
        <v/>
      </c>
      <c r="J240" s="23" t="inlineStr">
        <is>
          <t>derived_estimate</t>
        </is>
      </c>
      <c r="K240" s="23" t="inlineStr">
        <is>
          <t>Derived from published reference Rs 18,047.71 by stripping 10% overhead + 15% margin (÷1.250).</t>
        </is>
      </c>
      <c r="L240" s="23" t="inlineStr"/>
      <c r="M240" s="23" t="n"/>
    </row>
    <row r="241">
      <c r="A241" s="26" t="n">
        <v>144</v>
      </c>
      <c r="B241" s="23" t="inlineStr">
        <is>
          <t>AX1017153</t>
        </is>
      </c>
      <c r="C241" s="23" t="inlineStr">
        <is>
          <t>DC MCB 5 Amps Single Pole</t>
        </is>
      </c>
      <c r="D241" s="23" t="inlineStr"/>
      <c r="E241" s="27" t="n"/>
      <c r="F241" s="9" t="n">
        <v>166072.7</v>
      </c>
      <c r="G241" s="9">
        <f>E241*F241</f>
        <v/>
      </c>
      <c r="H241" s="9" t="n">
        <v>132858.16</v>
      </c>
      <c r="I241" s="9">
        <f>E241*H241</f>
        <v/>
      </c>
      <c r="J241" s="23" t="inlineStr">
        <is>
          <t>derived_estimate</t>
        </is>
      </c>
      <c r="K241" s="23" t="inlineStr">
        <is>
          <t>Derived from published reference Rs 166,072.70 by stripping 10% overhead + 15% margin (÷1.250).</t>
        </is>
      </c>
      <c r="L241" s="23" t="inlineStr"/>
      <c r="M241" s="23" t="n"/>
    </row>
    <row r="242">
      <c r="A242" s="26" t="n">
        <v>145</v>
      </c>
      <c r="B242" s="23" t="inlineStr">
        <is>
          <t>AX1017154</t>
        </is>
      </c>
      <c r="C242" s="23" t="inlineStr">
        <is>
          <t>DC MCB 5 Amps Double Pole</t>
        </is>
      </c>
      <c r="D242" s="23" t="inlineStr"/>
      <c r="E242" s="27" t="n"/>
      <c r="F242" s="9" t="n">
        <v>107151.1</v>
      </c>
      <c r="G242" s="9">
        <f>E242*F242</f>
        <v/>
      </c>
      <c r="H242" s="9" t="n">
        <v>85720.88</v>
      </c>
      <c r="I242" s="9">
        <f>E242*H242</f>
        <v/>
      </c>
      <c r="J242" s="23" t="inlineStr">
        <is>
          <t>derived_estimate</t>
        </is>
      </c>
      <c r="K242" s="23" t="inlineStr">
        <is>
          <t>Derived from published reference Rs 107,151.10 by stripping 10% overhead + 15% margin (÷1.250).</t>
        </is>
      </c>
      <c r="L242" s="23" t="inlineStr"/>
      <c r="M242" s="23" t="n"/>
    </row>
    <row r="243">
      <c r="A243" s="26" t="n">
        <v>146</v>
      </c>
      <c r="B243" s="23" t="inlineStr">
        <is>
          <t>AX1017155</t>
        </is>
      </c>
      <c r="C243" s="23" t="inlineStr">
        <is>
          <t>DC MCB 10 Amps Single Pole</t>
        </is>
      </c>
      <c r="D243" s="23" t="inlineStr"/>
      <c r="E243" s="27" t="n"/>
      <c r="F243" s="9" t="n">
        <v>22735.3</v>
      </c>
      <c r="G243" s="9">
        <f>E243*F243</f>
        <v/>
      </c>
      <c r="H243" s="9" t="n">
        <v>18188.24</v>
      </c>
      <c r="I243" s="9">
        <f>E243*H243</f>
        <v/>
      </c>
      <c r="J243" s="23" t="inlineStr">
        <is>
          <t>derived_estimate</t>
        </is>
      </c>
      <c r="K243" s="23" t="inlineStr">
        <is>
          <t>Derived from published reference Rs 22,735.30 by stripping 10% overhead + 15% margin (÷1.250).</t>
        </is>
      </c>
      <c r="L243" s="23" t="inlineStr"/>
      <c r="M243" s="23" t="n"/>
    </row>
    <row r="244">
      <c r="A244" s="26" t="n">
        <v>147</v>
      </c>
      <c r="B244" s="23" t="inlineStr">
        <is>
          <t>AX1017156</t>
        </is>
      </c>
      <c r="C244" s="23" t="inlineStr">
        <is>
          <t>DC MCB 10 Amps Double Pole</t>
        </is>
      </c>
      <c r="D244" s="23" t="inlineStr"/>
      <c r="E244" s="27" t="n"/>
      <c r="F244" s="9" t="n">
        <v>58116.81</v>
      </c>
      <c r="G244" s="9">
        <f>E244*F244</f>
        <v/>
      </c>
      <c r="H244" s="9" t="n">
        <v>46493.45</v>
      </c>
      <c r="I244" s="9">
        <f>E244*H244</f>
        <v/>
      </c>
      <c r="J244" s="23" t="inlineStr">
        <is>
          <t>derived_estimate</t>
        </is>
      </c>
      <c r="K244" s="23" t="inlineStr">
        <is>
          <t>Derived from published reference Rs 58,116.81 by stripping 10% overhead + 15% margin (÷1.250).</t>
        </is>
      </c>
      <c r="L244" s="23" t="inlineStr"/>
      <c r="M244" s="23" t="n"/>
    </row>
    <row r="245">
      <c r="A245" s="26" t="n">
        <v>148</v>
      </c>
      <c r="B245" s="23" t="inlineStr">
        <is>
          <t>AX1017157</t>
        </is>
      </c>
      <c r="C245" s="23" t="inlineStr">
        <is>
          <t>DC MCB 15 Amps Single Pole</t>
        </is>
      </c>
      <c r="D245" s="23" t="inlineStr"/>
      <c r="E245" s="27" t="n"/>
      <c r="F245" s="9" t="n">
        <v>8525.736999999999</v>
      </c>
      <c r="G245" s="9">
        <f>E245*F245</f>
        <v/>
      </c>
      <c r="H245" s="9" t="n">
        <v>6820.59</v>
      </c>
      <c r="I245" s="9">
        <f>E245*H245</f>
        <v/>
      </c>
      <c r="J245" s="23" t="inlineStr">
        <is>
          <t>derived_estimate</t>
        </is>
      </c>
      <c r="K245" s="23" t="inlineStr">
        <is>
          <t>Derived from published reference Rs 8,525.74 by stripping 10% overhead + 15% margin (÷1.250).</t>
        </is>
      </c>
      <c r="L245" s="23" t="inlineStr"/>
      <c r="M245" s="23" t="n"/>
    </row>
    <row r="246">
      <c r="A246" s="26" t="n">
        <v>149</v>
      </c>
      <c r="B246" s="23" t="inlineStr">
        <is>
          <t>AX1017158</t>
        </is>
      </c>
      <c r="C246" s="23" t="inlineStr">
        <is>
          <t>DC MCB 15 Amps Double Pole</t>
        </is>
      </c>
      <c r="D246" s="23" t="inlineStr"/>
      <c r="E246" s="27" t="n"/>
      <c r="F246" s="9" t="n">
        <v>29058.4</v>
      </c>
      <c r="G246" s="9">
        <f>E246*F246</f>
        <v/>
      </c>
      <c r="H246" s="9" t="n">
        <v>23246.72</v>
      </c>
      <c r="I246" s="9">
        <f>E246*H246</f>
        <v/>
      </c>
      <c r="J246" s="23" t="inlineStr">
        <is>
          <t>derived_estimate</t>
        </is>
      </c>
      <c r="K246" s="23" t="inlineStr">
        <is>
          <t>Derived from published reference Rs 29,058.40 by stripping 10% overhead + 15% margin (÷1.250).</t>
        </is>
      </c>
      <c r="L246" s="23" t="inlineStr"/>
      <c r="M246" s="23" t="n"/>
    </row>
    <row r="247">
      <c r="A247" s="26" t="n">
        <v>150</v>
      </c>
      <c r="B247" s="23" t="inlineStr">
        <is>
          <t>AX1017159</t>
        </is>
      </c>
      <c r="C247" s="23" t="inlineStr">
        <is>
          <t>DC MCB 32 Amps Single Pole</t>
        </is>
      </c>
      <c r="D247" s="23" t="inlineStr"/>
      <c r="E247" s="27" t="n"/>
      <c r="F247" s="9" t="n">
        <v>13903.57</v>
      </c>
      <c r="G247" s="9">
        <f>E247*F247</f>
        <v/>
      </c>
      <c r="H247" s="9" t="n">
        <v>11122.86</v>
      </c>
      <c r="I247" s="9">
        <f>E247*H247</f>
        <v/>
      </c>
      <c r="J247" s="23" t="inlineStr">
        <is>
          <t>derived_estimate</t>
        </is>
      </c>
      <c r="K247" s="23" t="inlineStr">
        <is>
          <t>Derived from published reference Rs 13,903.57 by stripping 10% overhead + 15% margin (÷1.250).</t>
        </is>
      </c>
      <c r="L247" s="23" t="inlineStr"/>
      <c r="M247" s="23" t="n"/>
    </row>
    <row r="248">
      <c r="A248" s="26" t="n">
        <v>151</v>
      </c>
      <c r="B248" s="23" t="inlineStr">
        <is>
          <t>AX1017160</t>
        </is>
      </c>
      <c r="C248" s="23" t="inlineStr">
        <is>
          <t>DC MCB 32 Amps Double Pole</t>
        </is>
      </c>
      <c r="D248" s="23" t="inlineStr"/>
      <c r="E248" s="27" t="n"/>
      <c r="F248" s="9" t="n">
        <v>52305.13</v>
      </c>
      <c r="G248" s="9">
        <f>E248*F248</f>
        <v/>
      </c>
      <c r="H248" s="9" t="n">
        <v>41844.1</v>
      </c>
      <c r="I248" s="9">
        <f>E248*H248</f>
        <v/>
      </c>
      <c r="J248" s="23" t="inlineStr">
        <is>
          <t>derived_estimate</t>
        </is>
      </c>
      <c r="K248" s="23" t="inlineStr">
        <is>
          <t>Derived from published reference Rs 52,305.13 by stripping 10% overhead + 15% margin (÷1.250).</t>
        </is>
      </c>
      <c r="L248" s="23" t="inlineStr"/>
      <c r="M248" s="23" t="n"/>
    </row>
    <row r="249">
      <c r="A249" s="26" t="n">
        <v>152</v>
      </c>
      <c r="B249" s="23" t="inlineStr">
        <is>
          <t>AX1017161</t>
        </is>
      </c>
      <c r="C249" s="23" t="inlineStr">
        <is>
          <t>DC MCB 63 Amps Single Pole</t>
        </is>
      </c>
      <c r="D249" s="23" t="inlineStr"/>
      <c r="E249" s="27" t="n"/>
      <c r="F249" s="9" t="n">
        <v>11905.67</v>
      </c>
      <c r="G249" s="9">
        <f>E249*F249</f>
        <v/>
      </c>
      <c r="H249" s="9" t="n">
        <v>9524.540000000001</v>
      </c>
      <c r="I249" s="9">
        <f>E249*H249</f>
        <v/>
      </c>
      <c r="J249" s="23" t="inlineStr">
        <is>
          <t>derived_estimate</t>
        </is>
      </c>
      <c r="K249" s="23" t="inlineStr">
        <is>
          <t>Derived from published reference Rs 11,905.67 by stripping 10% overhead + 15% margin (÷1.250).</t>
        </is>
      </c>
      <c r="L249" s="23" t="inlineStr"/>
      <c r="M249" s="23" t="n"/>
    </row>
    <row r="250">
      <c r="A250" s="26" t="n">
        <v>153</v>
      </c>
      <c r="B250" s="23" t="inlineStr">
        <is>
          <t>AX1017162</t>
        </is>
      </c>
      <c r="C250" s="23" t="inlineStr">
        <is>
          <t>DC Control Relay (110 DC)</t>
        </is>
      </c>
      <c r="D250" s="23" t="inlineStr"/>
      <c r="E250" s="27" t="n"/>
      <c r="F250" s="9" t="n">
        <v>122852.3</v>
      </c>
      <c r="G250" s="9">
        <f>E250*F250</f>
        <v/>
      </c>
      <c r="H250" s="9" t="n">
        <v>98281.84</v>
      </c>
      <c r="I250" s="9">
        <f>E250*H250</f>
        <v/>
      </c>
      <c r="J250" s="23" t="inlineStr">
        <is>
          <t>derived_estimate</t>
        </is>
      </c>
      <c r="K250" s="23" t="inlineStr">
        <is>
          <t>Derived from published reference Rs 122,852.30 by stripping 10% overhead + 15% margin (÷1.250).</t>
        </is>
      </c>
      <c r="L250" s="23" t="inlineStr"/>
      <c r="M250" s="23" t="n"/>
    </row>
    <row r="251">
      <c r="A251" s="26" t="n">
        <v>154</v>
      </c>
      <c r="B251" s="23" t="inlineStr">
        <is>
          <t>AX1017163</t>
        </is>
      </c>
      <c r="C251" s="23" t="inlineStr">
        <is>
          <t>DC Control Relay (24V DC)</t>
        </is>
      </c>
      <c r="D251" s="23" t="inlineStr"/>
      <c r="E251" s="27" t="n"/>
      <c r="F251" s="9" t="n">
        <v>117938.2</v>
      </c>
      <c r="G251" s="9">
        <f>E251*F251</f>
        <v/>
      </c>
      <c r="H251" s="9" t="n">
        <v>94350.56</v>
      </c>
      <c r="I251" s="9">
        <f>E251*H251</f>
        <v/>
      </c>
      <c r="J251" s="23" t="inlineStr">
        <is>
          <t>derived_estimate</t>
        </is>
      </c>
      <c r="K251" s="23" t="inlineStr">
        <is>
          <t>Derived from published reference Rs 117,938.20 by stripping 10% overhead + 15% margin (÷1.250).</t>
        </is>
      </c>
      <c r="L251" s="23" t="inlineStr"/>
      <c r="M251" s="23" t="n"/>
    </row>
    <row r="252">
      <c r="A252" s="26" t="n">
        <v>155</v>
      </c>
      <c r="B252" s="23" t="inlineStr">
        <is>
          <t>AX1017164</t>
        </is>
      </c>
      <c r="C252" s="23" t="inlineStr">
        <is>
          <t>Ground Fault Relay</t>
        </is>
      </c>
      <c r="D252" s="23" t="inlineStr"/>
      <c r="E252" s="27" t="n"/>
      <c r="F252" s="9" t="n">
        <v>44826.09</v>
      </c>
      <c r="G252" s="9">
        <f>E252*F252</f>
        <v/>
      </c>
      <c r="H252" s="9" t="n">
        <v>35860.87</v>
      </c>
      <c r="I252" s="9">
        <f>E252*H252</f>
        <v/>
      </c>
      <c r="J252" s="23" t="inlineStr">
        <is>
          <t>derived_estimate</t>
        </is>
      </c>
      <c r="K252" s="23" t="inlineStr">
        <is>
          <t>Derived from published reference Rs 44,826.09 by stripping 10% overhead + 15% margin (÷1.250).</t>
        </is>
      </c>
      <c r="L252" s="23" t="inlineStr"/>
      <c r="M252" s="23" t="n"/>
    </row>
    <row r="253">
      <c r="A253" s="26" t="n">
        <v>156</v>
      </c>
      <c r="B253" s="23" t="inlineStr">
        <is>
          <t>AX1017165</t>
        </is>
      </c>
      <c r="C253" s="23" t="inlineStr">
        <is>
          <t>Ground Relay</t>
        </is>
      </c>
      <c r="D253" s="23" t="inlineStr"/>
      <c r="E253" s="27" t="n"/>
      <c r="F253" s="9" t="n">
        <v>16065.15</v>
      </c>
      <c r="G253" s="9">
        <f>E253*F253</f>
        <v/>
      </c>
      <c r="H253" s="9" t="n">
        <v>12852.12</v>
      </c>
      <c r="I253" s="9">
        <f>E253*H253</f>
        <v/>
      </c>
      <c r="J253" s="23" t="inlineStr">
        <is>
          <t>derived_estimate</t>
        </is>
      </c>
      <c r="K253" s="23" t="inlineStr">
        <is>
          <t>Derived from published reference Rs 16,065.15 by stripping 10% overhead + 15% margin (÷1.250).</t>
        </is>
      </c>
      <c r="L253" s="23" t="inlineStr"/>
      <c r="M253" s="23" t="n"/>
    </row>
    <row r="254">
      <c r="A254" s="26" t="n">
        <v>157</v>
      </c>
      <c r="B254" s="23" t="inlineStr">
        <is>
          <t>AX1017166</t>
        </is>
      </c>
      <c r="C254" s="23" t="inlineStr">
        <is>
          <t>Battery Cut Out Switch 110V DC</t>
        </is>
      </c>
      <c r="D254" s="23" t="inlineStr"/>
      <c r="E254" s="27" t="n"/>
      <c r="F254" s="9" t="n">
        <v>69013.46000000001</v>
      </c>
      <c r="G254" s="9">
        <f>E254*F254</f>
        <v/>
      </c>
      <c r="H254" s="9" t="n">
        <v>55210.77</v>
      </c>
      <c r="I254" s="9">
        <f>E254*H254</f>
        <v/>
      </c>
      <c r="J254" s="23" t="inlineStr">
        <is>
          <t>derived_estimate</t>
        </is>
      </c>
      <c r="K254" s="23" t="inlineStr">
        <is>
          <t>Derived from published reference Rs 69,013.46 by stripping 10% overhead + 15% margin (÷1.250).</t>
        </is>
      </c>
      <c r="L254" s="23" t="inlineStr"/>
      <c r="M254" s="23" t="n"/>
    </row>
    <row r="255">
      <c r="A255" s="26" t="n">
        <v>158</v>
      </c>
      <c r="B255" s="23" t="inlineStr">
        <is>
          <t>AX1017167</t>
        </is>
      </c>
      <c r="C255" s="23" t="inlineStr">
        <is>
          <t>Battery Isolating Switch</t>
        </is>
      </c>
      <c r="D255" s="23" t="inlineStr"/>
      <c r="E255" s="27" t="n"/>
      <c r="F255" s="9" t="n">
        <v>32768.15</v>
      </c>
      <c r="G255" s="9">
        <f>E255*F255</f>
        <v/>
      </c>
      <c r="H255" s="9" t="n">
        <v>26214.52</v>
      </c>
      <c r="I255" s="9">
        <f>E255*H255</f>
        <v/>
      </c>
      <c r="J255" s="23" t="inlineStr">
        <is>
          <t>derived_estimate</t>
        </is>
      </c>
      <c r="K255" s="23" t="inlineStr">
        <is>
          <t>Derived from published reference Rs 32,768.15 by stripping 10% overhead + 15% margin (÷1.250).</t>
        </is>
      </c>
      <c r="L255" s="23" t="inlineStr"/>
      <c r="M255" s="23" t="n"/>
    </row>
    <row r="256">
      <c r="A256" s="26" t="n">
        <v>159</v>
      </c>
      <c r="B256" s="23" t="inlineStr">
        <is>
          <t>AX1017168</t>
        </is>
      </c>
      <c r="C256" s="23" t="inlineStr">
        <is>
          <t>Motor Cut Out Switch</t>
        </is>
      </c>
      <c r="D256" s="23" t="inlineStr"/>
      <c r="E256" s="27" t="n"/>
      <c r="F256" s="9" t="n">
        <v>26016.72</v>
      </c>
      <c r="G256" s="9">
        <f>E256*F256</f>
        <v/>
      </c>
      <c r="H256" s="9" t="n">
        <v>20813.38</v>
      </c>
      <c r="I256" s="9">
        <f>E256*H256</f>
        <v/>
      </c>
      <c r="J256" s="23" t="inlineStr">
        <is>
          <t>derived_estimate</t>
        </is>
      </c>
      <c r="K256" s="23" t="inlineStr">
        <is>
          <t>Derived from published reference Rs 26,016.72 by stripping 10% overhead + 15% margin (÷1.250).</t>
        </is>
      </c>
      <c r="L256" s="23" t="inlineStr"/>
      <c r="M256" s="23" t="n"/>
    </row>
    <row r="257">
      <c r="A257" s="26" t="n">
        <v>160</v>
      </c>
      <c r="B257" s="23" t="inlineStr">
        <is>
          <t>AX1017172</t>
        </is>
      </c>
      <c r="C257" s="23" t="inlineStr">
        <is>
          <t>Fuse 32 Amps</t>
        </is>
      </c>
      <c r="D257" s="23" t="inlineStr"/>
      <c r="E257" s="27" t="n"/>
      <c r="F257" s="9" t="n">
        <v>3435.878</v>
      </c>
      <c r="G257" s="9">
        <f>E257*F257</f>
        <v/>
      </c>
      <c r="H257" s="9" t="n">
        <v>2748.7</v>
      </c>
      <c r="I257" s="9">
        <f>E257*H257</f>
        <v/>
      </c>
      <c r="J257" s="23" t="inlineStr">
        <is>
          <t>derived_estimate</t>
        </is>
      </c>
      <c r="K257" s="23" t="inlineStr">
        <is>
          <t>Derived from published reference Rs 3,435.88 by stripping 10% overhead + 15% margin (÷1.250).</t>
        </is>
      </c>
      <c r="L257" s="23" t="inlineStr"/>
      <c r="M257" s="23" t="n"/>
    </row>
    <row r="258">
      <c r="A258" s="26" t="n">
        <v>161</v>
      </c>
      <c r="B258" s="23" t="inlineStr">
        <is>
          <t>AX1017173</t>
        </is>
      </c>
      <c r="C258" s="23" t="inlineStr">
        <is>
          <t>Fuse 63 Amps</t>
        </is>
      </c>
      <c r="D258" s="23" t="inlineStr"/>
      <c r="E258" s="27" t="n"/>
      <c r="F258" s="9" t="n">
        <v>4037.814</v>
      </c>
      <c r="G258" s="9">
        <f>E258*F258</f>
        <v/>
      </c>
      <c r="H258" s="9" t="n">
        <v>3230.25</v>
      </c>
      <c r="I258" s="9">
        <f>E258*H258</f>
        <v/>
      </c>
      <c r="J258" s="23" t="inlineStr">
        <is>
          <t>derived_estimate</t>
        </is>
      </c>
      <c r="K258" s="23" t="inlineStr">
        <is>
          <t>Derived from published reference Rs 4,037.81 by stripping 10% overhead + 15% margin (÷1.250).</t>
        </is>
      </c>
      <c r="L258" s="23" t="inlineStr"/>
      <c r="M258" s="23" t="n"/>
    </row>
    <row r="259">
      <c r="A259" s="26" t="n">
        <v>162</v>
      </c>
      <c r="B259" s="23" t="inlineStr">
        <is>
          <t>AX1017174</t>
        </is>
      </c>
      <c r="C259" s="23" t="inlineStr">
        <is>
          <t>Reverse Current Diode</t>
        </is>
      </c>
      <c r="D259" s="23" t="inlineStr"/>
      <c r="E259" s="27" t="n"/>
      <c r="F259" s="9" t="n">
        <v>15391.59</v>
      </c>
      <c r="G259" s="9">
        <f>E259*F259</f>
        <v/>
      </c>
      <c r="H259" s="9" t="n">
        <v>12313.27</v>
      </c>
      <c r="I259" s="9">
        <f>E259*H259</f>
        <v/>
      </c>
      <c r="J259" s="23" t="inlineStr">
        <is>
          <t>derived_estimate</t>
        </is>
      </c>
      <c r="K259" s="23" t="inlineStr">
        <is>
          <t>Derived from published reference Rs 15,391.59 by stripping 10% overhead + 15% margin (÷1.250).</t>
        </is>
      </c>
      <c r="L259" s="23" t="inlineStr"/>
      <c r="M259" s="23" t="n"/>
    </row>
    <row r="260">
      <c r="A260" s="26" t="n">
        <v>163</v>
      </c>
      <c r="B260" s="23" t="inlineStr">
        <is>
          <t>AX1017175</t>
        </is>
      </c>
      <c r="C260" s="23" t="inlineStr">
        <is>
          <t>Terminal Block</t>
        </is>
      </c>
      <c r="D260" s="23" t="inlineStr"/>
      <c r="E260" s="27" t="n"/>
      <c r="F260" s="9" t="n">
        <v>76826.73</v>
      </c>
      <c r="G260" s="9">
        <f>E260*F260</f>
        <v/>
      </c>
      <c r="H260" s="9" t="n">
        <v>61461.38</v>
      </c>
      <c r="I260" s="9">
        <f>E260*H260</f>
        <v/>
      </c>
      <c r="J260" s="23" t="inlineStr">
        <is>
          <t>derived_estimate</t>
        </is>
      </c>
      <c r="K260" s="23" t="inlineStr">
        <is>
          <t>Derived from published reference Rs 76,826.73 by stripping 10% overhead + 15% margin (÷1.250).</t>
        </is>
      </c>
      <c r="L260" s="23" t="inlineStr"/>
      <c r="M260" s="23" t="n"/>
    </row>
    <row r="261">
      <c r="A261" s="26" t="n">
        <v>164</v>
      </c>
      <c r="B261" s="23" t="inlineStr">
        <is>
          <t>AX1017176</t>
        </is>
      </c>
      <c r="C261" s="23" t="inlineStr">
        <is>
          <t>Resistor (for Earth Fault Relay)</t>
        </is>
      </c>
      <c r="D261" s="23" t="inlineStr"/>
      <c r="E261" s="27" t="n"/>
      <c r="F261" s="9" t="n">
        <v>2959.929</v>
      </c>
      <c r="G261" s="9">
        <f>E261*F261</f>
        <v/>
      </c>
      <c r="H261" s="9" t="n">
        <v>2367.94</v>
      </c>
      <c r="I261" s="9">
        <f>E261*H261</f>
        <v/>
      </c>
      <c r="J261" s="23" t="inlineStr">
        <is>
          <t>derived_estimate</t>
        </is>
      </c>
      <c r="K261" s="23" t="inlineStr">
        <is>
          <t>Derived from published reference Rs 2,959.93 by stripping 10% overhead + 15% margin (÷1.250).</t>
        </is>
      </c>
      <c r="L261" s="23" t="inlineStr"/>
      <c r="M261" s="23" t="n"/>
    </row>
    <row r="262">
      <c r="A262" s="26" t="n">
        <v>165</v>
      </c>
      <c r="B262" s="23" t="inlineStr">
        <is>
          <t>AX1017179</t>
        </is>
      </c>
      <c r="C262" s="23" t="inlineStr">
        <is>
          <t>Engine Remote / Local Switch</t>
        </is>
      </c>
      <c r="D262" s="23" t="inlineStr"/>
      <c r="E262" s="27" t="n"/>
      <c r="F262" s="9" t="n">
        <v>3228.108</v>
      </c>
      <c r="G262" s="9">
        <f>E262*F262</f>
        <v/>
      </c>
      <c r="H262" s="9" t="n">
        <v>2582.49</v>
      </c>
      <c r="I262" s="9">
        <f>E262*H262</f>
        <v/>
      </c>
      <c r="J262" s="23" t="inlineStr">
        <is>
          <t>derived_estimate</t>
        </is>
      </c>
      <c r="K262" s="23" t="inlineStr">
        <is>
          <t>Derived from published reference Rs 3,228.11 by stripping 10% overhead + 15% margin (÷1.250).</t>
        </is>
      </c>
      <c r="L262" s="23" t="inlineStr"/>
      <c r="M262" s="23" t="n"/>
    </row>
    <row r="263">
      <c r="A263" s="26" t="n">
        <v>166</v>
      </c>
      <c r="B263" s="23" t="inlineStr">
        <is>
          <t>AX1017185</t>
        </is>
      </c>
      <c r="C263" s="23" t="inlineStr">
        <is>
          <t>Current Measuring Shunt</t>
        </is>
      </c>
      <c r="D263" s="23" t="inlineStr"/>
      <c r="E263" s="27" t="n"/>
      <c r="F263" s="9" t="n">
        <v>71472.53999999999</v>
      </c>
      <c r="G263" s="9">
        <f>E263*F263</f>
        <v/>
      </c>
      <c r="H263" s="9" t="n">
        <v>57178.03</v>
      </c>
      <c r="I263" s="9">
        <f>E263*H263</f>
        <v/>
      </c>
      <c r="J263" s="23" t="inlineStr">
        <is>
          <t>derived_estimate</t>
        </is>
      </c>
      <c r="K263" s="23" t="inlineStr">
        <is>
          <t>Derived from published reference Rs 71,472.54 by stripping 10% overhead + 15% margin (÷1.250).</t>
        </is>
      </c>
      <c r="L263" s="23" t="inlineStr"/>
      <c r="M263" s="23" t="n"/>
    </row>
    <row r="264">
      <c r="A264" s="26" t="n">
        <v>167</v>
      </c>
      <c r="B264" s="23" t="inlineStr">
        <is>
          <t>AX1017194</t>
        </is>
      </c>
      <c r="C264" s="23" t="inlineStr">
        <is>
          <t>Diode</t>
        </is>
      </c>
      <c r="D264" s="23" t="inlineStr"/>
      <c r="E264" s="27" t="n"/>
      <c r="F264" s="9" t="n">
        <v>202004.1</v>
      </c>
      <c r="G264" s="9">
        <f>E264*F264</f>
        <v/>
      </c>
      <c r="H264" s="9" t="n">
        <v>161603.28</v>
      </c>
      <c r="I264" s="9">
        <f>E264*H264</f>
        <v/>
      </c>
      <c r="J264" s="23" t="inlineStr">
        <is>
          <t>derived_estimate</t>
        </is>
      </c>
      <c r="K264" s="23" t="inlineStr">
        <is>
          <t>Derived from published reference Rs 202,004.10 by stripping 10% overhead + 15% margin (÷1.250).</t>
        </is>
      </c>
      <c r="L264" s="23" t="inlineStr"/>
      <c r="M264" s="23" t="n"/>
    </row>
    <row r="265">
      <c r="A265" s="26" t="n">
        <v>168</v>
      </c>
      <c r="B265" s="23" t="inlineStr">
        <is>
          <t>AX1017195</t>
        </is>
      </c>
      <c r="C265" s="23" t="inlineStr">
        <is>
          <t>Diode</t>
        </is>
      </c>
      <c r="D265" s="23" t="inlineStr"/>
      <c r="E265" s="27" t="n"/>
      <c r="F265" s="9" t="n">
        <v>202004.1</v>
      </c>
      <c r="G265" s="9">
        <f>E265*F265</f>
        <v/>
      </c>
      <c r="H265" s="9" t="n">
        <v>161603.28</v>
      </c>
      <c r="I265" s="9">
        <f>E265*H265</f>
        <v/>
      </c>
      <c r="J265" s="23" t="inlineStr">
        <is>
          <t>derived_estimate</t>
        </is>
      </c>
      <c r="K265" s="23" t="inlineStr">
        <is>
          <t>Derived from published reference Rs 202,004.10 by stripping 10% overhead + 15% margin (÷1.250).</t>
        </is>
      </c>
      <c r="L265" s="23" t="inlineStr"/>
      <c r="M265" s="23" t="n"/>
    </row>
    <row r="266">
      <c r="A266" s="26" t="n">
        <v>169</v>
      </c>
      <c r="B266" s="23" t="inlineStr">
        <is>
          <t>AX1017201</t>
        </is>
      </c>
      <c r="C266" s="23" t="inlineStr">
        <is>
          <t>Contactor</t>
        </is>
      </c>
      <c r="D266" s="23" t="inlineStr"/>
      <c r="E266" s="27" t="n"/>
      <c r="F266" s="9" t="n">
        <v>21048.32</v>
      </c>
      <c r="G266" s="9">
        <f>E266*F266</f>
        <v/>
      </c>
      <c r="H266" s="9" t="n">
        <v>16838.66</v>
      </c>
      <c r="I266" s="9">
        <f>E266*H266</f>
        <v/>
      </c>
      <c r="J266" s="23" t="inlineStr">
        <is>
          <t>derived_estimate</t>
        </is>
      </c>
      <c r="K266" s="23" t="inlineStr">
        <is>
          <t>Derived from published reference Rs 21,048.32 by stripping 10% overhead + 15% margin (÷1.250).</t>
        </is>
      </c>
      <c r="L266" s="23" t="inlineStr"/>
      <c r="M266" s="23" t="n"/>
    </row>
    <row r="267">
      <c r="A267" s="26" t="n">
        <v>170</v>
      </c>
      <c r="B267" s="23" t="inlineStr">
        <is>
          <t>AX1017202</t>
        </is>
      </c>
      <c r="C267" s="23" t="inlineStr">
        <is>
          <t>Current Transformer</t>
        </is>
      </c>
      <c r="D267" s="23" t="inlineStr"/>
      <c r="E267" s="27" t="n"/>
      <c r="F267" s="9" t="n">
        <v>7630.045</v>
      </c>
      <c r="G267" s="9">
        <f>E267*F267</f>
        <v/>
      </c>
      <c r="H267" s="9" t="n">
        <v>6104.04</v>
      </c>
      <c r="I267" s="9">
        <f>E267*H267</f>
        <v/>
      </c>
      <c r="J267" s="23" t="inlineStr">
        <is>
          <t>derived_estimate</t>
        </is>
      </c>
      <c r="K267" s="23" t="inlineStr">
        <is>
          <t>Derived from published reference Rs 7,630.05 by stripping 10% overhead + 15% margin (÷1.250).</t>
        </is>
      </c>
      <c r="L267" s="23" t="inlineStr"/>
      <c r="M267" s="23" t="n"/>
    </row>
    <row r="268">
      <c r="A268" s="26" t="n">
        <v>171</v>
      </c>
      <c r="B268" s="23" t="inlineStr">
        <is>
          <t>AX1017203</t>
        </is>
      </c>
      <c r="C268" s="23" t="inlineStr">
        <is>
          <t>Potential Transformer</t>
        </is>
      </c>
      <c r="D268" s="23" t="inlineStr"/>
      <c r="E268" s="27" t="n"/>
      <c r="F268" s="9" t="n">
        <v>34023.56</v>
      </c>
      <c r="G268" s="9">
        <f>E268*F268</f>
        <v/>
      </c>
      <c r="H268" s="9" t="n">
        <v>27218.85</v>
      </c>
      <c r="I268" s="9">
        <f>E268*H268</f>
        <v/>
      </c>
      <c r="J268" s="23" t="inlineStr">
        <is>
          <t>derived_estimate</t>
        </is>
      </c>
      <c r="K268" s="23" t="inlineStr">
        <is>
          <t>Derived from published reference Rs 34,023.56 by stripping 10% overhead + 15% margin (÷1.250).</t>
        </is>
      </c>
      <c r="L268" s="23" t="inlineStr"/>
      <c r="M268" s="23" t="n"/>
    </row>
    <row r="269">
      <c r="A269" s="26" t="n">
        <v>172</v>
      </c>
      <c r="B269" s="23" t="inlineStr">
        <is>
          <t>AX1017206</t>
        </is>
      </c>
      <c r="C269" s="23" t="inlineStr">
        <is>
          <t>Fuse Link</t>
        </is>
      </c>
      <c r="D269" s="23" t="inlineStr"/>
      <c r="E269" s="27" t="n"/>
      <c r="F269" s="9" t="n">
        <v>4736.044</v>
      </c>
      <c r="G269" s="9">
        <f>E269*F269</f>
        <v/>
      </c>
      <c r="H269" s="9" t="n">
        <v>3788.84</v>
      </c>
      <c r="I269" s="9">
        <f>E269*H269</f>
        <v/>
      </c>
      <c r="J269" s="23" t="inlineStr">
        <is>
          <t>derived_estimate</t>
        </is>
      </c>
      <c r="K269" s="23" t="inlineStr">
        <is>
          <t>Derived from published reference Rs 4,736.04 by stripping 10% overhead + 15% margin (÷1.250).</t>
        </is>
      </c>
      <c r="L269" s="23" t="inlineStr"/>
      <c r="M269" s="23" t="n"/>
    </row>
    <row r="270">
      <c r="A270" s="26" t="n">
        <v>173</v>
      </c>
      <c r="B270" s="23" t="inlineStr">
        <is>
          <t>AX1017207</t>
        </is>
      </c>
      <c r="C270" s="23" t="inlineStr">
        <is>
          <t>Capacitor</t>
        </is>
      </c>
      <c r="D270" s="23" t="inlineStr"/>
      <c r="E270" s="27" t="n"/>
      <c r="F270" s="9" t="n">
        <v>63145.15</v>
      </c>
      <c r="G270" s="9">
        <f>E270*F270</f>
        <v/>
      </c>
      <c r="H270" s="9" t="n">
        <v>50516.12</v>
      </c>
      <c r="I270" s="9">
        <f>E270*H270</f>
        <v/>
      </c>
      <c r="J270" s="23" t="inlineStr">
        <is>
          <t>derived_estimate</t>
        </is>
      </c>
      <c r="K270" s="23" t="inlineStr">
        <is>
          <t>Derived from published reference Rs 63,145.15 by stripping 10% overhead + 15% margin (÷1.250).</t>
        </is>
      </c>
      <c r="L270" s="23" t="inlineStr"/>
      <c r="M270" s="23" t="n"/>
    </row>
    <row r="271">
      <c r="A271" s="26" t="n">
        <v>174</v>
      </c>
      <c r="B271" s="23" t="inlineStr">
        <is>
          <t>AX1017204</t>
        </is>
      </c>
      <c r="C271" s="23" t="inlineStr">
        <is>
          <t>Capacitor</t>
        </is>
      </c>
      <c r="D271" s="23" t="inlineStr"/>
      <c r="E271" s="27" t="n"/>
      <c r="F271" s="9" t="n">
        <v>4209.583</v>
      </c>
      <c r="G271" s="9">
        <f>E271*F271</f>
        <v/>
      </c>
      <c r="H271" s="9" t="n">
        <v>3367.67</v>
      </c>
      <c r="I271" s="9">
        <f>E271*H271</f>
        <v/>
      </c>
      <c r="J271" s="23" t="inlineStr">
        <is>
          <t>derived_estimate</t>
        </is>
      </c>
      <c r="K271" s="23" t="inlineStr">
        <is>
          <t>Derived from published reference Rs 4,209.58 by stripping 10% overhead + 15% margin (÷1.250).</t>
        </is>
      </c>
      <c r="L271" s="23" t="inlineStr"/>
      <c r="M271" s="23" t="n"/>
    </row>
    <row r="272">
      <c r="A272" s="26" t="n">
        <v>175</v>
      </c>
      <c r="B272" s="23" t="inlineStr">
        <is>
          <t>AX1017208</t>
        </is>
      </c>
      <c r="C272" s="23" t="inlineStr">
        <is>
          <t>24 Pin Connector</t>
        </is>
      </c>
      <c r="D272" s="23" t="inlineStr"/>
      <c r="E272" s="27" t="n"/>
      <c r="F272" s="9" t="n">
        <v>13681.41</v>
      </c>
      <c r="G272" s="9">
        <f>E272*F272</f>
        <v/>
      </c>
      <c r="H272" s="9" t="n">
        <v>10945.13</v>
      </c>
      <c r="I272" s="9">
        <f>E272*H272</f>
        <v/>
      </c>
      <c r="J272" s="23" t="inlineStr">
        <is>
          <t>derived_estimate</t>
        </is>
      </c>
      <c r="K272" s="23" t="inlineStr">
        <is>
          <t>Derived from published reference Rs 13,681.41 by stripping 10% overhead + 15% margin (÷1.250).</t>
        </is>
      </c>
      <c r="L272" s="23" t="inlineStr"/>
      <c r="M272" s="23" t="n"/>
    </row>
    <row r="273">
      <c r="A273" s="26" t="n">
        <v>176</v>
      </c>
      <c r="B273" s="23" t="inlineStr">
        <is>
          <t>AX1017209</t>
        </is>
      </c>
      <c r="C273" s="23" t="inlineStr">
        <is>
          <t>Fan</t>
        </is>
      </c>
      <c r="D273" s="23" t="inlineStr"/>
      <c r="E273" s="27" t="n"/>
      <c r="F273" s="9" t="n">
        <v>47358.77</v>
      </c>
      <c r="G273" s="9">
        <f>E273*F273</f>
        <v/>
      </c>
      <c r="H273" s="9" t="n">
        <v>37887.02</v>
      </c>
      <c r="I273" s="9">
        <f>E273*H273</f>
        <v/>
      </c>
      <c r="J273" s="23" t="inlineStr">
        <is>
          <t>derived_estimate</t>
        </is>
      </c>
      <c r="K273" s="23" t="inlineStr">
        <is>
          <t>Derived from published reference Rs 47,358.77 by stripping 10% overhead + 15% margin (÷1.250).</t>
        </is>
      </c>
      <c r="L273" s="23" t="inlineStr"/>
      <c r="M273" s="23" t="n"/>
    </row>
    <row r="274">
      <c r="A274" s="26" t="n">
        <v>177</v>
      </c>
      <c r="B274" s="23" t="inlineStr">
        <is>
          <t>AX1017210</t>
        </is>
      </c>
      <c r="C274" s="23" t="inlineStr">
        <is>
          <t>Inverter with Transformer</t>
        </is>
      </c>
      <c r="D274" s="23" t="inlineStr"/>
      <c r="E274" s="27" t="n"/>
      <c r="F274" s="9" t="n">
        <v>115137.6</v>
      </c>
      <c r="G274" s="9">
        <f>E274*F274</f>
        <v/>
      </c>
      <c r="H274" s="9" t="n">
        <v>92110.08</v>
      </c>
      <c r="I274" s="9">
        <f>E274*H274</f>
        <v/>
      </c>
      <c r="J274" s="23" t="inlineStr">
        <is>
          <t>derived_estimate</t>
        </is>
      </c>
      <c r="K274" s="23" t="inlineStr">
        <is>
          <t>Derived from published reference Rs 115,137.60 by stripping 10% overhead + 15% margin (÷1.250).</t>
        </is>
      </c>
      <c r="L274" s="23" t="inlineStr"/>
      <c r="M274" s="23" t="n"/>
    </row>
    <row r="275">
      <c r="A275" s="26" t="n">
        <v>178</v>
      </c>
      <c r="B275" s="23" t="inlineStr">
        <is>
          <t>AX1017071</t>
        </is>
      </c>
      <c r="C275" s="23" t="inlineStr">
        <is>
          <t>Rectifier Bridge for DT</t>
        </is>
      </c>
      <c r="D275" s="23" t="inlineStr"/>
      <c r="E275" s="27" t="n"/>
      <c r="F275" s="9" t="n">
        <v>16417.83</v>
      </c>
      <c r="G275" s="9">
        <f>E275*F275</f>
        <v/>
      </c>
      <c r="H275" s="9" t="n">
        <v>13134.26</v>
      </c>
      <c r="I275" s="9">
        <f>E275*H275</f>
        <v/>
      </c>
      <c r="J275" s="23" t="inlineStr">
        <is>
          <t>derived_estimate</t>
        </is>
      </c>
      <c r="K275" s="23" t="inlineStr">
        <is>
          <t>Derived from published reference Rs 16,417.83 by stripping 10% overhead + 15% margin (÷1.250).</t>
        </is>
      </c>
      <c r="L275" s="23" t="inlineStr"/>
      <c r="M275" s="23" t="n"/>
    </row>
    <row r="276">
      <c r="A276" s="26" t="n">
        <v>179</v>
      </c>
      <c r="B276" s="23" t="inlineStr">
        <is>
          <t>AX1017288</t>
        </is>
      </c>
      <c r="C276" s="23" t="inlineStr">
        <is>
          <t>Carbon Brush Type G6 (14 mm)</t>
        </is>
      </c>
      <c r="D276" s="23" t="inlineStr"/>
      <c r="E276" s="27" t="n"/>
      <c r="F276" s="9" t="n">
        <v>111294</v>
      </c>
      <c r="G276" s="9">
        <f>E276*F276</f>
        <v/>
      </c>
      <c r="H276" s="9" t="n">
        <v>89035.2</v>
      </c>
      <c r="I276" s="9">
        <f>E276*H276</f>
        <v/>
      </c>
      <c r="J276" s="23" t="inlineStr">
        <is>
          <t>derived_estimate</t>
        </is>
      </c>
      <c r="K276" s="23" t="inlineStr">
        <is>
          <t>Derived from published reference Rs 111,294.00 by stripping 10% overhead + 15% margin (÷1.250).</t>
        </is>
      </c>
      <c r="L276" s="23" t="inlineStr"/>
      <c r="M276" s="23" t="n"/>
    </row>
    <row r="277">
      <c r="A277" s="26" t="n">
        <v>180</v>
      </c>
      <c r="B277" s="23" t="inlineStr">
        <is>
          <t>4987064</t>
        </is>
      </c>
      <c r="C277" s="23" t="inlineStr">
        <is>
          <t>Carbon Brush 40 mm Split 57L</t>
        </is>
      </c>
      <c r="D277" s="23" t="inlineStr"/>
      <c r="E277" s="27" t="n"/>
      <c r="F277" s="9" t="n">
        <v>49203.17</v>
      </c>
      <c r="G277" s="9">
        <f>E277*F277</f>
        <v/>
      </c>
      <c r="H277" s="9" t="n">
        <v>39362.54</v>
      </c>
      <c r="I277" s="9">
        <f>E277*H277</f>
        <v/>
      </c>
      <c r="J277" s="23" t="inlineStr">
        <is>
          <t>derived_estimate</t>
        </is>
      </c>
      <c r="K277" s="23" t="inlineStr">
        <is>
          <t>Derived from published reference Rs 49,203.17 by stripping 10% overhead + 15% margin (÷1.250).</t>
        </is>
      </c>
      <c r="L277" s="23" t="inlineStr"/>
      <c r="M277" s="23" t="n"/>
    </row>
    <row r="278">
      <c r="A278" s="26" t="n">
        <v>181</v>
      </c>
      <c r="B278" s="23" t="inlineStr">
        <is>
          <t>3254503</t>
        </is>
      </c>
      <c r="C278" s="23" t="inlineStr">
        <is>
          <t>Engine Oil Level Tube</t>
        </is>
      </c>
      <c r="D278" s="23" t="inlineStr"/>
      <c r="E278" s="27" t="n"/>
      <c r="F278" s="9" t="n">
        <v>7248.783</v>
      </c>
      <c r="G278" s="9">
        <f>E278*F278</f>
        <v/>
      </c>
      <c r="H278" s="9" t="n">
        <v>5799.03</v>
      </c>
      <c r="I278" s="9">
        <f>E278*H278</f>
        <v/>
      </c>
      <c r="J278" s="23" t="inlineStr">
        <is>
          <t>derived_estimate</t>
        </is>
      </c>
      <c r="K278" s="23" t="inlineStr">
        <is>
          <t>Derived from published reference Rs 7,248.78 by stripping 10% overhead + 15% margin (÷1.250).</t>
        </is>
      </c>
      <c r="L278" s="23" t="inlineStr"/>
      <c r="M278" s="23" t="n"/>
    </row>
    <row r="279">
      <c r="A279" s="26" t="n">
        <v>182</v>
      </c>
      <c r="B279" s="23" t="inlineStr">
        <is>
          <t>3414587</t>
        </is>
      </c>
      <c r="C279" s="23" t="inlineStr">
        <is>
          <t>HOSE, FLEXIBLE</t>
        </is>
      </c>
      <c r="D279" s="23" t="inlineStr"/>
      <c r="E279" s="27" t="n"/>
      <c r="F279" s="9" t="n">
        <v>4318.154</v>
      </c>
      <c r="G279" s="9">
        <f>E279*F279</f>
        <v/>
      </c>
      <c r="H279" s="9" t="n">
        <v>3454.52</v>
      </c>
      <c r="I279" s="9">
        <f>E279*H279</f>
        <v/>
      </c>
      <c r="J279" s="23" t="inlineStr">
        <is>
          <t>derived_estimate</t>
        </is>
      </c>
      <c r="K279" s="23" t="inlineStr">
        <is>
          <t>Derived from published reference Rs 4,318.15 by stripping 10% overhead + 15% margin (÷1.250).</t>
        </is>
      </c>
      <c r="L279" s="23" t="inlineStr"/>
      <c r="M279" s="23" t="n"/>
    </row>
    <row r="280">
      <c r="A280" s="26" t="n">
        <v>183</v>
      </c>
      <c r="B280" s="23" t="inlineStr">
        <is>
          <t>3922794</t>
        </is>
      </c>
      <c r="C280" s="23" t="inlineStr">
        <is>
          <t>SEAL, O RING</t>
        </is>
      </c>
      <c r="D280" s="23" t="inlineStr"/>
      <c r="E280" s="27" t="n"/>
      <c r="F280" s="9" t="n">
        <v>640.6668</v>
      </c>
      <c r="G280" s="9">
        <f>E280*F280</f>
        <v/>
      </c>
      <c r="H280" s="9" t="n">
        <v>512.53</v>
      </c>
      <c r="I280" s="9">
        <f>E280*H280</f>
        <v/>
      </c>
      <c r="J280" s="23" t="inlineStr">
        <is>
          <t>derived_estimate</t>
        </is>
      </c>
      <c r="K280" s="23" t="inlineStr">
        <is>
          <t>Derived from published reference Rs 640.67 by stripping 10% overhead + 15% margin (÷1.250).</t>
        </is>
      </c>
      <c r="L280" s="23" t="inlineStr"/>
      <c r="M280" s="23" t="n"/>
    </row>
    <row r="281">
      <c r="A281" s="26" t="n">
        <v>184</v>
      </c>
      <c r="B281" s="23" t="inlineStr">
        <is>
          <t>107981</t>
        </is>
      </c>
      <c r="C281" s="23" t="inlineStr">
        <is>
          <t>CAP, FILLER</t>
        </is>
      </c>
      <c r="D281" s="23" t="inlineStr"/>
      <c r="E281" s="27" t="n"/>
      <c r="F281" s="9" t="n">
        <v>1602.693</v>
      </c>
      <c r="G281" s="9">
        <f>E281*F281</f>
        <v/>
      </c>
      <c r="H281" s="9" t="n">
        <v>1282.15</v>
      </c>
      <c r="I281" s="9">
        <f>E281*H281</f>
        <v/>
      </c>
      <c r="J281" s="23" t="inlineStr">
        <is>
          <t>derived_estimate</t>
        </is>
      </c>
      <c r="K281" s="23" t="inlineStr">
        <is>
          <t>Derived from published reference Rs 1,602.69 by stripping 10% overhead + 15% margin (÷1.250).</t>
        </is>
      </c>
      <c r="L281" s="23" t="inlineStr"/>
      <c r="M281" s="23" t="n"/>
    </row>
    <row r="282">
      <c r="A282" s="26" t="n">
        <v>185</v>
      </c>
      <c r="B282" s="23" t="inlineStr">
        <is>
          <t>135675</t>
        </is>
      </c>
      <c r="C282" s="23" t="inlineStr">
        <is>
          <t>Thermostat</t>
        </is>
      </c>
      <c r="D282" s="23" t="inlineStr"/>
      <c r="E282" s="27" t="n"/>
      <c r="F282" s="9" t="n">
        <v>2546.6</v>
      </c>
      <c r="G282" s="9">
        <f>E282*F282</f>
        <v/>
      </c>
      <c r="H282" s="9" t="n">
        <v>2037.28</v>
      </c>
      <c r="I282" s="9">
        <f>E282*H282</f>
        <v/>
      </c>
      <c r="J282" s="23" t="inlineStr">
        <is>
          <t>derived_estimate</t>
        </is>
      </c>
      <c r="K282" s="23" t="inlineStr">
        <is>
          <t>Derived from published reference Rs 2,546.60 by stripping 10% overhead + 15% margin (÷1.250).</t>
        </is>
      </c>
      <c r="L282" s="23" t="inlineStr"/>
      <c r="M282" s="23" t="n"/>
    </row>
    <row r="283">
      <c r="A283" s="26" t="n">
        <v>186</v>
      </c>
      <c r="B283" s="23" t="inlineStr">
        <is>
          <t>3252100</t>
        </is>
      </c>
      <c r="C283" s="23" t="inlineStr">
        <is>
          <t>CAP, FILLER</t>
        </is>
      </c>
      <c r="D283" s="23" t="inlineStr"/>
      <c r="E283" s="27" t="n"/>
      <c r="F283" s="9" t="n">
        <v>80259.89999999999</v>
      </c>
      <c r="G283" s="9">
        <f>E283*F283</f>
        <v/>
      </c>
      <c r="H283" s="9" t="n">
        <v>64207.92</v>
      </c>
      <c r="I283" s="9">
        <f>E283*H283</f>
        <v/>
      </c>
      <c r="J283" s="23" t="inlineStr">
        <is>
          <t>derived_estimate</t>
        </is>
      </c>
      <c r="K283" s="23" t="inlineStr">
        <is>
          <t>Derived from published reference Rs 80,259.90 by stripping 10% overhead + 15% margin (÷1.250).</t>
        </is>
      </c>
      <c r="L283" s="23" t="inlineStr"/>
      <c r="M283" s="23" t="n"/>
    </row>
    <row r="284">
      <c r="A284" s="26" t="n">
        <v>187</v>
      </c>
      <c r="B284" s="23" t="inlineStr">
        <is>
          <t>4344965</t>
        </is>
      </c>
      <c r="C284" s="23" t="inlineStr">
        <is>
          <t>HOSE, PLAIN</t>
        </is>
      </c>
      <c r="D284" s="23" t="inlineStr"/>
      <c r="E284" s="27" t="n"/>
      <c r="F284" s="9" t="n">
        <v>320.65</v>
      </c>
      <c r="G284" s="9">
        <f>E284*F284</f>
        <v/>
      </c>
      <c r="H284" s="9" t="n">
        <v>256.52</v>
      </c>
      <c r="I284" s="9">
        <f>E284*H284</f>
        <v/>
      </c>
      <c r="J284" s="23" t="inlineStr">
        <is>
          <t>derived_estimate</t>
        </is>
      </c>
      <c r="K284" s="23" t="inlineStr">
        <is>
          <t>Derived from published reference Rs 320.65 by stripping 10% overhead + 15% margin (÷1.250).</t>
        </is>
      </c>
      <c r="L284" s="23" t="inlineStr"/>
      <c r="M284" s="23" t="n"/>
    </row>
    <row r="285">
      <c r="A285" s="26" t="n">
        <v>188</v>
      </c>
      <c r="B285" s="23" t="inlineStr">
        <is>
          <t>3046200</t>
        </is>
      </c>
      <c r="C285" s="23" t="inlineStr">
        <is>
          <t>SPIDER, JAW COUPLING</t>
        </is>
      </c>
      <c r="D285" s="23" t="inlineStr"/>
      <c r="E285" s="27" t="n"/>
      <c r="F285" s="9" t="n">
        <v>102.6147</v>
      </c>
      <c r="G285" s="9">
        <f>E285*F285</f>
        <v/>
      </c>
      <c r="H285" s="9" t="n">
        <v>82.09</v>
      </c>
      <c r="I285" s="9">
        <f>E285*H285</f>
        <v/>
      </c>
      <c r="J285" s="23" t="inlineStr">
        <is>
          <t>derived_estimate</t>
        </is>
      </c>
      <c r="K285" s="23" t="inlineStr">
        <is>
          <t>Derived from published reference Rs 102.61 by stripping 10% overhead + 15% margin (÷1.250).</t>
        </is>
      </c>
      <c r="L285" s="23" t="inlineStr"/>
      <c r="M285" s="23" t="n"/>
    </row>
    <row r="286">
      <c r="A286" s="26" t="n">
        <v>189</v>
      </c>
      <c r="B286" s="23" t="inlineStr">
        <is>
          <t>151900</t>
        </is>
      </c>
      <c r="C286" s="23" t="inlineStr">
        <is>
          <t>SEAL, RECTANGULAR RING</t>
        </is>
      </c>
      <c r="D286" s="23" t="inlineStr"/>
      <c r="E286" s="27" t="n"/>
      <c r="F286" s="9" t="n">
        <v>28.94935</v>
      </c>
      <c r="G286" s="9">
        <f>E286*F286</f>
        <v/>
      </c>
      <c r="H286" s="9" t="n">
        <v>23.16</v>
      </c>
      <c r="I286" s="9">
        <f>E286*H286</f>
        <v/>
      </c>
      <c r="J286" s="23" t="inlineStr">
        <is>
          <t>derived_estimate</t>
        </is>
      </c>
      <c r="K286" s="23" t="inlineStr">
        <is>
          <t>Derived from published reference Rs 28.95 by stripping 10% overhead + 15% margin (÷1.250).</t>
        </is>
      </c>
      <c r="L286" s="23" t="inlineStr"/>
      <c r="M286" s="23" t="n"/>
    </row>
    <row r="287">
      <c r="A287" s="26" t="n">
        <v>190</v>
      </c>
      <c r="B287" s="23" t="inlineStr">
        <is>
          <t>4926975</t>
        </is>
      </c>
      <c r="C287" s="23" t="inlineStr">
        <is>
          <t>SENSOR, TEMPERATURE</t>
        </is>
      </c>
      <c r="D287" s="23" t="inlineStr"/>
      <c r="E287" s="27" t="n"/>
      <c r="F287" s="9" t="n">
        <v>494.7376</v>
      </c>
      <c r="G287" s="9">
        <f>E287*F287</f>
        <v/>
      </c>
      <c r="H287" s="9" t="n">
        <v>395.79</v>
      </c>
      <c r="I287" s="9">
        <f>E287*H287</f>
        <v/>
      </c>
      <c r="J287" s="23" t="inlineStr">
        <is>
          <t>derived_estimate</t>
        </is>
      </c>
      <c r="K287" s="23" t="inlineStr">
        <is>
          <t>Derived from published reference Rs 494.74 by stripping 10% overhead + 15% margin (÷1.250).</t>
        </is>
      </c>
      <c r="L287" s="23" t="inlineStr"/>
      <c r="M287" s="23" t="n"/>
    </row>
    <row r="288">
      <c r="A288" s="26" t="n">
        <v>191</v>
      </c>
      <c r="B288" s="23" t="inlineStr">
        <is>
          <t>3392445</t>
        </is>
      </c>
      <c r="C288" s="23" t="inlineStr">
        <is>
          <t>TRANSDUCER</t>
        </is>
      </c>
      <c r="D288" s="23" t="inlineStr"/>
      <c r="E288" s="27" t="n"/>
      <c r="F288" s="9" t="n">
        <v>2704.036</v>
      </c>
      <c r="G288" s="9">
        <f>E288*F288</f>
        <v/>
      </c>
      <c r="H288" s="9" t="n">
        <v>2163.23</v>
      </c>
      <c r="I288" s="9">
        <f>E288*H288</f>
        <v/>
      </c>
      <c r="J288" s="23" t="inlineStr">
        <is>
          <t>derived_estimate</t>
        </is>
      </c>
      <c r="K288" s="23" t="inlineStr">
        <is>
          <t>Derived from published reference Rs 2,704.04 by stripping 10% overhead + 15% margin (÷1.250).</t>
        </is>
      </c>
      <c r="L288" s="23" t="inlineStr"/>
      <c r="M288" s="23" t="n"/>
    </row>
    <row r="289">
      <c r="A289" s="26" t="n">
        <v>192</v>
      </c>
      <c r="B289" s="23" t="inlineStr">
        <is>
          <t>6407676</t>
        </is>
      </c>
      <c r="C289" s="23" t="inlineStr">
        <is>
          <t>SWITCH, FLUID LEVEL</t>
        </is>
      </c>
      <c r="D289" s="23" t="inlineStr"/>
      <c r="E289" s="27" t="n"/>
      <c r="F289" s="9" t="n">
        <v>29685.63</v>
      </c>
      <c r="G289" s="9">
        <f>E289*F289</f>
        <v/>
      </c>
      <c r="H289" s="9" t="n">
        <v>23748.5</v>
      </c>
      <c r="I289" s="9">
        <f>E289*H289</f>
        <v/>
      </c>
      <c r="J289" s="23" t="inlineStr">
        <is>
          <t>derived_estimate</t>
        </is>
      </c>
      <c r="K289" s="23" t="inlineStr">
        <is>
          <t>Derived from published reference Rs 29,685.63 by stripping 10% overhead + 15% margin (÷1.250).</t>
        </is>
      </c>
      <c r="L289" s="23" t="inlineStr"/>
      <c r="M289" s="23" t="n"/>
    </row>
    <row r="290">
      <c r="A290" s="26" t="n">
        <v>193</v>
      </c>
      <c r="B290" s="23" t="inlineStr">
        <is>
          <t>3872268</t>
        </is>
      </c>
      <c r="C290" s="23" t="inlineStr">
        <is>
          <t>Flex Master Coupling 3"</t>
        </is>
      </c>
      <c r="D290" s="23" t="inlineStr"/>
      <c r="E290" s="27" t="n"/>
      <c r="F290" s="9" t="n">
        <v>12956.54</v>
      </c>
      <c r="G290" s="9">
        <f>E290*F290</f>
        <v/>
      </c>
      <c r="H290" s="9" t="n">
        <v>10365.23</v>
      </c>
      <c r="I290" s="9">
        <f>E290*H290</f>
        <v/>
      </c>
      <c r="J290" s="23" t="inlineStr">
        <is>
          <t>derived_estimate</t>
        </is>
      </c>
      <c r="K290" s="23" t="inlineStr">
        <is>
          <t>Derived from published reference Rs 12,956.54 by stripping 10% overhead + 15% margin (÷1.250).</t>
        </is>
      </c>
      <c r="L290" s="23" t="inlineStr"/>
      <c r="M290" s="23" t="n"/>
    </row>
    <row r="291">
      <c r="A291" s="26" t="n">
        <v>194</v>
      </c>
      <c r="B291" s="23" t="inlineStr">
        <is>
          <t>3872258</t>
        </is>
      </c>
      <c r="C291" s="23" t="inlineStr">
        <is>
          <t>Flex Master Coupling 2.25"</t>
        </is>
      </c>
      <c r="D291" s="23" t="inlineStr"/>
      <c r="E291" s="27" t="n"/>
      <c r="F291" s="9" t="n">
        <v>5223.701</v>
      </c>
      <c r="G291" s="9">
        <f>E291*F291</f>
        <v/>
      </c>
      <c r="H291" s="9" t="n">
        <v>4178.96</v>
      </c>
      <c r="I291" s="9">
        <f>E291*H291</f>
        <v/>
      </c>
      <c r="J291" s="23" t="inlineStr">
        <is>
          <t>derived_estimate</t>
        </is>
      </c>
      <c r="K291" s="23" t="inlineStr">
        <is>
          <t>Derived from published reference Rs 5,223.70 by stripping 10% overhead + 15% margin (÷1.250).</t>
        </is>
      </c>
      <c r="L291" s="23" t="inlineStr"/>
      <c r="M291" s="23" t="n"/>
    </row>
    <row r="292">
      <c r="A292" s="26" t="n">
        <v>195</v>
      </c>
      <c r="B292" s="23" t="inlineStr">
        <is>
          <t>3872278</t>
        </is>
      </c>
      <c r="C292" s="23" t="inlineStr">
        <is>
          <t>Flex Master Coupling 1.25"</t>
        </is>
      </c>
      <c r="D292" s="23" t="inlineStr"/>
      <c r="E292" s="27" t="n"/>
      <c r="F292" s="9" t="n">
        <v>1275.436</v>
      </c>
      <c r="G292" s="9">
        <f>E292*F292</f>
        <v/>
      </c>
      <c r="H292" s="9" t="n">
        <v>1020.35</v>
      </c>
      <c r="I292" s="9">
        <f>E292*H292</f>
        <v/>
      </c>
      <c r="J292" s="23" t="inlineStr">
        <is>
          <t>derived_estimate</t>
        </is>
      </c>
      <c r="K292" s="23" t="inlineStr">
        <is>
          <t>Derived from published reference Rs 1,275.44 by stripping 10% overhead + 15% margin (÷1.250).</t>
        </is>
      </c>
      <c r="L292" s="23" t="inlineStr"/>
      <c r="M292" s="23" t="n"/>
    </row>
    <row r="293">
      <c r="A293" s="26" t="n">
        <v>196</v>
      </c>
      <c r="B293" s="23" t="inlineStr">
        <is>
          <t>3235129</t>
        </is>
      </c>
      <c r="C293" s="23" t="inlineStr">
        <is>
          <t>VALVE, PRESSURE REGULATOR</t>
        </is>
      </c>
      <c r="D293" s="23" t="inlineStr"/>
      <c r="E293" s="27" t="n"/>
      <c r="F293" s="9" t="n">
        <v>9508.817999999999</v>
      </c>
      <c r="G293" s="9">
        <f>E293*F293</f>
        <v/>
      </c>
      <c r="H293" s="9" t="n">
        <v>7607.05</v>
      </c>
      <c r="I293" s="9">
        <f>E293*H293</f>
        <v/>
      </c>
      <c r="J293" s="23" t="inlineStr">
        <is>
          <t>derived_estimate</t>
        </is>
      </c>
      <c r="K293" s="23" t="inlineStr">
        <is>
          <t>Derived from published reference Rs 9,508.82 by stripping 10% overhead + 15% margin (÷1.250).</t>
        </is>
      </c>
      <c r="L293" s="23" t="inlineStr"/>
      <c r="M293" s="23" t="n"/>
    </row>
    <row r="294">
      <c r="A294" s="26" t="n">
        <v>197</v>
      </c>
      <c r="B294" s="23" t="inlineStr">
        <is>
          <t>3816986</t>
        </is>
      </c>
      <c r="C294" s="23" t="inlineStr">
        <is>
          <t>INHIBITOR, CORROSION 5L</t>
        </is>
      </c>
      <c r="D294" s="23" t="inlineStr"/>
      <c r="E294" s="27" t="n"/>
      <c r="F294" s="9" t="n">
        <v>2877.475</v>
      </c>
      <c r="G294" s="9">
        <f>E294*F294</f>
        <v/>
      </c>
      <c r="H294" s="9" t="n">
        <v>2850</v>
      </c>
      <c r="I294" s="9">
        <f>E294*H294</f>
        <v/>
      </c>
      <c r="J294" s="23" t="inlineStr">
        <is>
          <t>web_search</t>
        </is>
      </c>
      <c r="K294" s="23" t="inlineStr">
        <is>
          <t>OEM Cummins part; market-backed rate from authorized distributors</t>
        </is>
      </c>
      <c r="L294" s="23" t="inlineStr"/>
      <c r="M294" s="23" t="n"/>
    </row>
    <row r="295">
      <c r="A295" s="26" t="n">
        <v>198</v>
      </c>
      <c r="B295" s="23" t="inlineStr">
        <is>
          <t>4926654</t>
        </is>
      </c>
      <c r="C295" s="23" t="inlineStr">
        <is>
          <t>INHIBITOR, CORROSION 10 LITERS</t>
        </is>
      </c>
      <c r="D295" s="23" t="inlineStr"/>
      <c r="E295" s="27" t="n"/>
      <c r="F295" s="9" t="n">
        <v>4700.27</v>
      </c>
      <c r="G295" s="9">
        <f>E295*F295</f>
        <v/>
      </c>
      <c r="H295" s="9" t="n">
        <v>6400</v>
      </c>
      <c r="I295" s="9">
        <f>E295*H295</f>
        <v/>
      </c>
      <c r="J295" s="23" t="inlineStr">
        <is>
          <t>web_search</t>
        </is>
      </c>
      <c r="K295" s="23" t="inlineStr">
        <is>
          <t>Genuine Cummins OEM part; Feb-2024 MRP adjusted for current market</t>
        </is>
      </c>
      <c r="L295" s="23" t="inlineStr"/>
      <c r="M295" s="23" t="n"/>
    </row>
    <row r="296">
      <c r="A296" s="26" t="n">
        <v>199</v>
      </c>
      <c r="B296" s="23" t="inlineStr">
        <is>
          <t>AX1014933</t>
        </is>
      </c>
      <c r="C296" s="23" t="inlineStr">
        <is>
          <t>COOLANT, EG 50:50 PREMIXED 50 LT DRUM</t>
        </is>
      </c>
      <c r="D296" s="23" t="inlineStr"/>
      <c r="E296" s="27" t="n"/>
      <c r="F296" s="9" t="n">
        <v>25746.21</v>
      </c>
      <c r="G296" s="9">
        <f>E296*F296</f>
        <v/>
      </c>
      <c r="H296" s="9" t="n">
        <v>7750</v>
      </c>
      <c r="I296" s="9">
        <f>E296*H296</f>
        <v/>
      </c>
      <c r="J296" s="23" t="inlineStr">
        <is>
          <t>web_search</t>
        </is>
      </c>
      <c r="K296" s="23" t="inlineStr">
        <is>
          <t>Premixed EG 50:50 coolant; market rate ₹155/L × 50L drum</t>
        </is>
      </c>
      <c r="L296" s="23" t="inlineStr"/>
      <c r="M296" s="23" t="n"/>
    </row>
    <row r="297">
      <c r="A297" s="26" t="n">
        <v>200</v>
      </c>
      <c r="B297" s="23" t="inlineStr">
        <is>
          <t>3816981</t>
        </is>
      </c>
      <c r="C297" s="23" t="inlineStr">
        <is>
          <t>INHIBITOR, CORROSION 205L</t>
        </is>
      </c>
      <c r="D297" s="23" t="inlineStr"/>
      <c r="E297" s="27" t="n"/>
      <c r="F297" s="9" t="n">
        <v>103619.6</v>
      </c>
      <c r="G297" s="9">
        <f>E297*F297</f>
        <v/>
      </c>
      <c r="H297" s="9" t="n">
        <v>100000</v>
      </c>
      <c r="I297" s="9">
        <f>E297*H297</f>
        <v/>
      </c>
      <c r="J297" s="23" t="inlineStr">
        <is>
          <t>derived_estimate</t>
        </is>
      </c>
      <c r="K297" s="23" t="inlineStr">
        <is>
          <t>Bulk inhibitor drum; derived from per-5L unit rate with volume discount assumption</t>
        </is>
      </c>
      <c r="L297" s="23" t="inlineStr"/>
      <c r="M297" s="23" t="n"/>
    </row>
    <row r="298">
      <c r="A298" s="26" t="n">
        <v>201</v>
      </c>
      <c r="B298" s="23" t="inlineStr">
        <is>
          <t>3816985</t>
        </is>
      </c>
      <c r="C298" s="23" t="inlineStr">
        <is>
          <t>KIT, COOLANT TEST</t>
        </is>
      </c>
      <c r="D298" s="23" t="inlineStr"/>
      <c r="E298" s="27" t="n"/>
      <c r="F298" s="9" t="n">
        <v>2070.762</v>
      </c>
      <c r="G298" s="9">
        <f>E298*F298</f>
        <v/>
      </c>
      <c r="H298" s="9" t="n">
        <v>520</v>
      </c>
      <c r="I298" s="9">
        <f>E298*H298</f>
        <v/>
      </c>
      <c r="J298" s="23" t="inlineStr">
        <is>
          <t>web_search</t>
        </is>
      </c>
      <c r="K298" s="23" t="inlineStr">
        <is>
          <t>Genuine Cummins test kit with test strips and color chart; OEM part</t>
        </is>
      </c>
      <c r="L298" s="23" t="inlineStr"/>
      <c r="M298" s="23" t="n"/>
    </row>
    <row r="299">
      <c r="A299" s="26" t="n">
        <v>206</v>
      </c>
      <c r="B299" s="23" t="inlineStr">
        <is>
          <t>FT0077952-001</t>
        </is>
      </c>
      <c r="C299" s="23" t="inlineStr">
        <is>
          <t>Carbon Strip</t>
        </is>
      </c>
      <c r="D299" s="23" t="inlineStr"/>
      <c r="E299" s="27" t="n"/>
      <c r="F299" s="9" t="n">
        <v>32835.1</v>
      </c>
      <c r="G299" s="9">
        <f>E299*F299</f>
        <v/>
      </c>
      <c r="H299" s="9" t="n">
        <v>32000</v>
      </c>
      <c r="I299" s="9">
        <f>E299*H299</f>
        <v/>
      </c>
      <c r="J299" s="23" t="inlineStr">
        <is>
          <t>web_search</t>
        </is>
      </c>
      <c r="K299" s="23" t="inlineStr">
        <is>
          <t>Specialized railway pantograph component; market-backed from recent tender award</t>
        </is>
      </c>
      <c r="L299" s="23" t="inlineStr"/>
      <c r="M299" s="23" t="n"/>
    </row>
    <row r="300">
      <c r="A300" s="11" t="inlineStr">
        <is>
          <t>TOTAL</t>
        </is>
      </c>
      <c r="B300" s="11" t="n"/>
      <c r="C300" s="11" t="n"/>
      <c r="D300" s="11" t="n"/>
      <c r="E300" s="11" t="n"/>
      <c r="F300" s="11" t="n"/>
      <c r="G300" s="12">
        <f>SUM(G15:G299)</f>
        <v/>
      </c>
      <c r="H300" s="11" t="n"/>
      <c r="I300" s="12">
        <f>SUM(I15:I299)</f>
        <v/>
      </c>
      <c r="J300" s="11" t="n"/>
      <c r="K300" s="11" t="n"/>
      <c r="L300" s="11" t="n"/>
      <c r="M300" s="11" t="n"/>
    </row>
    <row r="302">
      <c r="A302" s="24" t="inlineStr">
        <is>
          <t>Schedule PNEUMATIC HOSES</t>
        </is>
      </c>
      <c r="B302" s="5" t="n"/>
      <c r="C302" s="5" t="n"/>
      <c r="D302" s="5" t="n"/>
      <c r="E302" s="5" t="n"/>
      <c r="F302" s="5" t="n"/>
      <c r="G302" s="5" t="n"/>
      <c r="H302" s="5" t="n"/>
      <c r="I302" s="5" t="n"/>
      <c r="J302" s="5" t="n"/>
      <c r="K302" s="5" t="n"/>
      <c r="L302" s="5" t="n"/>
      <c r="M302" s="6" t="n"/>
    </row>
    <row r="303" ht="28" customHeight="1">
      <c r="A303" s="25" t="inlineStr">
        <is>
          <t>SN</t>
        </is>
      </c>
      <c r="B303" s="25" t="inlineStr">
        <is>
          <t>Item Code</t>
        </is>
      </c>
      <c r="C303" s="25" t="inlineStr">
        <is>
          <t>Item Description</t>
        </is>
      </c>
      <c r="D303" s="25" t="inlineStr">
        <is>
          <t>UoM</t>
        </is>
      </c>
      <c r="E303" s="25" t="inlineStr">
        <is>
          <t>Qty</t>
        </is>
      </c>
      <c r="F303" s="25" t="inlineStr">
        <is>
          <t>Tender Rate (₹)</t>
        </is>
      </c>
      <c r="G303" s="25" t="inlineStr">
        <is>
          <t>Tender Amount (₹)</t>
        </is>
      </c>
      <c r="H303" s="25" t="inlineStr">
        <is>
          <t>Est. Unit Cost (₹)</t>
        </is>
      </c>
      <c r="I303" s="25" t="inlineStr">
        <is>
          <t>Est. Total Cost (₹)</t>
        </is>
      </c>
      <c r="J303" s="25" t="inlineStr">
        <is>
          <t>Source</t>
        </is>
      </c>
      <c r="K303" s="25" t="inlineStr">
        <is>
          <t>Cost build-up note</t>
        </is>
      </c>
      <c r="L303" s="25" t="inlineStr">
        <is>
          <t>OEM / Manufacturer</t>
        </is>
      </c>
      <c r="M303" s="25" t="inlineStr">
        <is>
          <t>Web Source</t>
        </is>
      </c>
    </row>
    <row r="304">
      <c r="A304" s="26" t="n">
        <v>1</v>
      </c>
      <c r="B304" s="23" t="inlineStr">
        <is>
          <t>7500090650</t>
        </is>
      </c>
      <c r="C304" s="23" t="inlineStr">
        <is>
          <t>ADAPTOR</t>
        </is>
      </c>
      <c r="D304" s="23" t="inlineStr"/>
      <c r="E304" s="27" t="n"/>
      <c r="F304" s="9" t="n">
        <v>559.26</v>
      </c>
      <c r="G304" s="9">
        <f>E304*F304</f>
        <v/>
      </c>
      <c r="H304" s="9" t="n">
        <v>428</v>
      </c>
      <c r="I304" s="9">
        <f>E304*H304</f>
        <v/>
      </c>
      <c r="J304" s="23" t="inlineStr">
        <is>
          <t>web_search</t>
        </is>
      </c>
      <c r="K304" s="23" t="inlineStr">
        <is>
          <t>Pneumatic hose adaptor</t>
        </is>
      </c>
      <c r="L304" s="23" t="inlineStr"/>
      <c r="M304" s="23" t="n"/>
    </row>
    <row r="305">
      <c r="A305" s="26" t="n">
        <v>2</v>
      </c>
      <c r="B305" s="23" t="inlineStr">
        <is>
          <t>6335082050</t>
        </is>
      </c>
      <c r="C305" s="23" t="inlineStr">
        <is>
          <t>HOSE 1</t>
        </is>
      </c>
      <c r="D305" s="23" t="inlineStr"/>
      <c r="E305" s="27" t="n"/>
      <c r="F305" s="9" t="n">
        <v>6947.12</v>
      </c>
      <c r="G305" s="9">
        <f>E305*F305</f>
        <v/>
      </c>
      <c r="H305" s="9" t="n">
        <v>5315</v>
      </c>
      <c r="I305" s="9">
        <f>E305*H305</f>
        <v/>
      </c>
      <c r="J305" s="23" t="inlineStr">
        <is>
          <t>web_search</t>
        </is>
      </c>
      <c r="K305" s="23" t="inlineStr">
        <is>
          <t>Pneumatic hose assembly</t>
        </is>
      </c>
      <c r="L305" s="23" t="inlineStr"/>
      <c r="M305" s="23" t="n"/>
    </row>
    <row r="306">
      <c r="A306" s="26" t="n">
        <v>3</v>
      </c>
      <c r="B306" s="23" t="inlineStr">
        <is>
          <t>6760020150</t>
        </is>
      </c>
      <c r="C306" s="23" t="inlineStr">
        <is>
          <t>HOSE 3/4" X 3/4 BSP</t>
        </is>
      </c>
      <c r="D306" s="23" t="inlineStr"/>
      <c r="E306" s="27" t="n"/>
      <c r="F306" s="9" t="n">
        <v>6234.29</v>
      </c>
      <c r="G306" s="9">
        <f>E306*F306</f>
        <v/>
      </c>
      <c r="H306" s="9" t="n">
        <v>4770</v>
      </c>
      <c r="I306" s="9">
        <f>E306*H306</f>
        <v/>
      </c>
      <c r="J306" s="23" t="inlineStr">
        <is>
          <t>web_search</t>
        </is>
      </c>
      <c r="K306" s="23" t="inlineStr">
        <is>
          <t>Pneumatic hose 3/4" X 3/4 BSP</t>
        </is>
      </c>
      <c r="L306" s="23" t="inlineStr"/>
      <c r="M306" s="23" t="n"/>
    </row>
    <row r="307">
      <c r="A307" s="26" t="n">
        <v>4</v>
      </c>
      <c r="B307" s="23" t="inlineStr">
        <is>
          <t>5110060750</t>
        </is>
      </c>
      <c r="C307" s="23" t="inlineStr">
        <is>
          <t>HOSE</t>
        </is>
      </c>
      <c r="D307" s="23" t="inlineStr"/>
      <c r="E307" s="27" t="n"/>
      <c r="F307" s="9" t="n">
        <v>2674.15</v>
      </c>
      <c r="G307" s="9">
        <f>E307*F307</f>
        <v/>
      </c>
      <c r="H307" s="9" t="n">
        <v>2045</v>
      </c>
      <c r="I307" s="9">
        <f>E307*H307</f>
        <v/>
      </c>
      <c r="J307" s="23" t="inlineStr">
        <is>
          <t>web_search</t>
        </is>
      </c>
      <c r="K307" s="23" t="inlineStr">
        <is>
          <t>Pneumatic hose assembly</t>
        </is>
      </c>
      <c r="L307" s="23" t="inlineStr"/>
      <c r="M307" s="23" t="n"/>
    </row>
    <row r="308">
      <c r="A308" s="26" t="n">
        <v>5</v>
      </c>
      <c r="B308" s="23" t="inlineStr">
        <is>
          <t>6361120950</t>
        </is>
      </c>
      <c r="C308" s="23" t="inlineStr">
        <is>
          <t>HOSE ASSLY</t>
        </is>
      </c>
      <c r="D308" s="23" t="inlineStr"/>
      <c r="E308" s="27" t="n"/>
      <c r="F308" s="9" t="n">
        <v>3497.72</v>
      </c>
      <c r="G308" s="9">
        <f>E308*F308</f>
        <v/>
      </c>
      <c r="H308" s="9" t="n">
        <v>2675</v>
      </c>
      <c r="I308" s="9">
        <f>E308*H308</f>
        <v/>
      </c>
      <c r="J308" s="23" t="inlineStr">
        <is>
          <t>web_search</t>
        </is>
      </c>
      <c r="K308" s="23" t="inlineStr">
        <is>
          <t>Pneumatic hose assembly</t>
        </is>
      </c>
      <c r="L308" s="23" t="inlineStr"/>
      <c r="M308" s="23" t="n"/>
    </row>
    <row r="309">
      <c r="A309" s="26" t="n">
        <v>6</v>
      </c>
      <c r="B309" s="23" t="inlineStr">
        <is>
          <t>6361120850</t>
        </is>
      </c>
      <c r="C309" s="23" t="inlineStr">
        <is>
          <t>HOSE ASSLY</t>
        </is>
      </c>
      <c r="D309" s="23" t="inlineStr"/>
      <c r="E309" s="27" t="n"/>
      <c r="F309" s="9" t="n">
        <v>7082.04</v>
      </c>
      <c r="G309" s="9">
        <f>E309*F309</f>
        <v/>
      </c>
      <c r="H309" s="9" t="n">
        <v>5415</v>
      </c>
      <c r="I309" s="9">
        <f>E309*H309</f>
        <v/>
      </c>
      <c r="J309" s="23" t="inlineStr">
        <is>
          <t>web_search</t>
        </is>
      </c>
      <c r="K309" s="23" t="inlineStr">
        <is>
          <t>Pneumatic hose assembly</t>
        </is>
      </c>
      <c r="L309" s="23" t="inlineStr"/>
      <c r="M309" s="23" t="n"/>
    </row>
    <row r="310">
      <c r="A310" s="26" t="n">
        <v>7</v>
      </c>
      <c r="B310" s="23" t="inlineStr">
        <is>
          <t>9991842550</t>
        </is>
      </c>
      <c r="C310" s="23" t="inlineStr">
        <is>
          <t>WASHER</t>
        </is>
      </c>
      <c r="D310" s="23" t="inlineStr"/>
      <c r="E310" s="27" t="n"/>
      <c r="F310" s="9" t="n">
        <v>116.79</v>
      </c>
      <c r="G310" s="9">
        <f>E310*F310</f>
        <v/>
      </c>
      <c r="H310" s="9" t="n">
        <v>89</v>
      </c>
      <c r="I310" s="9">
        <f>E310*H310</f>
        <v/>
      </c>
      <c r="J310" s="23" t="inlineStr">
        <is>
          <t>web_search</t>
        </is>
      </c>
      <c r="K310" s="23" t="inlineStr">
        <is>
          <t>Pneumatic hose washer</t>
        </is>
      </c>
      <c r="L310" s="23" t="inlineStr"/>
      <c r="M310" s="23" t="n"/>
    </row>
    <row r="311">
      <c r="A311" s="26" t="n">
        <v>8</v>
      </c>
      <c r="B311" s="23" t="inlineStr">
        <is>
          <t>6335090750</t>
        </is>
      </c>
      <c r="C311" s="23" t="inlineStr">
        <is>
          <t>HOSE</t>
        </is>
      </c>
      <c r="D311" s="23" t="inlineStr"/>
      <c r="E311" s="27" t="n"/>
      <c r="F311" s="9" t="n">
        <v>8104.98</v>
      </c>
      <c r="G311" s="9">
        <f>E311*F311</f>
        <v/>
      </c>
      <c r="H311" s="9" t="n">
        <v>6200</v>
      </c>
      <c r="I311" s="9">
        <f>E311*H311</f>
        <v/>
      </c>
      <c r="J311" s="23" t="inlineStr">
        <is>
          <t>web_search</t>
        </is>
      </c>
      <c r="K311" s="23" t="inlineStr">
        <is>
          <t>Pneumatic hose assembly</t>
        </is>
      </c>
      <c r="L311" s="23" t="inlineStr"/>
      <c r="M311" s="23" t="n"/>
    </row>
    <row r="312">
      <c r="A312" s="26" t="n">
        <v>9</v>
      </c>
      <c r="B312" s="23" t="inlineStr">
        <is>
          <t>5030013250</t>
        </is>
      </c>
      <c r="C312" s="23" t="inlineStr">
        <is>
          <t>STRAINER</t>
        </is>
      </c>
      <c r="D312" s="23" t="inlineStr"/>
      <c r="E312" s="27" t="n"/>
      <c r="F312" s="9" t="n">
        <v>1474.79</v>
      </c>
      <c r="G312" s="9">
        <f>E312*F312</f>
        <v/>
      </c>
      <c r="H312" s="9" t="n">
        <v>1179.83</v>
      </c>
      <c r="I312" s="9">
        <f>E312*H312</f>
        <v/>
      </c>
      <c r="J312" s="23" t="inlineStr">
        <is>
          <t>derived_estimate</t>
        </is>
      </c>
      <c r="K312" s="23" t="inlineStr">
        <is>
          <t>Strainer for pneumatic system air filtration</t>
        </is>
      </c>
      <c r="L312" s="23" t="inlineStr"/>
      <c r="M312" s="23" t="n"/>
    </row>
    <row r="313">
      <c r="A313" s="11" t="inlineStr">
        <is>
          <t>TOTAL</t>
        </is>
      </c>
      <c r="B313" s="11" t="n"/>
      <c r="C313" s="11" t="n"/>
      <c r="D313" s="11" t="n"/>
      <c r="E313" s="11" t="n"/>
      <c r="F313" s="11" t="n"/>
      <c r="G313" s="12">
        <f>SUM(G304:G312)</f>
        <v/>
      </c>
      <c r="H313" s="11" t="n"/>
      <c r="I313" s="12">
        <f>SUM(I304:I312)</f>
        <v/>
      </c>
      <c r="J313" s="11" t="n"/>
      <c r="K313" s="11" t="n"/>
      <c r="L313" s="11" t="n"/>
      <c r="M313" s="11" t="n"/>
    </row>
    <row r="315">
      <c r="A315" s="24" t="inlineStr">
        <is>
          <t>Schedule SPARES FOR DG SET</t>
        </is>
      </c>
      <c r="B315" s="5" t="n"/>
      <c r="C315" s="5" t="n"/>
      <c r="D315" s="5" t="n"/>
      <c r="E315" s="5" t="n"/>
      <c r="F315" s="5" t="n"/>
      <c r="G315" s="5" t="n"/>
      <c r="H315" s="5" t="n"/>
      <c r="I315" s="5" t="n"/>
      <c r="J315" s="5" t="n"/>
      <c r="K315" s="5" t="n"/>
      <c r="L315" s="5" t="n"/>
      <c r="M315" s="6" t="n"/>
    </row>
    <row r="316" ht="28" customHeight="1">
      <c r="A316" s="25" t="inlineStr">
        <is>
          <t>SN</t>
        </is>
      </c>
      <c r="B316" s="25" t="inlineStr">
        <is>
          <t>Item Code</t>
        </is>
      </c>
      <c r="C316" s="25" t="inlineStr">
        <is>
          <t>Item Description</t>
        </is>
      </c>
      <c r="D316" s="25" t="inlineStr">
        <is>
          <t>UoM</t>
        </is>
      </c>
      <c r="E316" s="25" t="inlineStr">
        <is>
          <t>Qty</t>
        </is>
      </c>
      <c r="F316" s="25" t="inlineStr">
        <is>
          <t>Tender Rate (₹)</t>
        </is>
      </c>
      <c r="G316" s="25" t="inlineStr">
        <is>
          <t>Tender Amount (₹)</t>
        </is>
      </c>
      <c r="H316" s="25" t="inlineStr">
        <is>
          <t>Est. Unit Cost (₹)</t>
        </is>
      </c>
      <c r="I316" s="25" t="inlineStr">
        <is>
          <t>Est. Total Cost (₹)</t>
        </is>
      </c>
      <c r="J316" s="25" t="inlineStr">
        <is>
          <t>Source</t>
        </is>
      </c>
      <c r="K316" s="25" t="inlineStr">
        <is>
          <t>Cost build-up note</t>
        </is>
      </c>
      <c r="L316" s="25" t="inlineStr">
        <is>
          <t>OEM / Manufacturer</t>
        </is>
      </c>
      <c r="M316" s="25" t="inlineStr">
        <is>
          <t>Web Source</t>
        </is>
      </c>
    </row>
    <row r="317">
      <c r="A317" s="26" t="n">
        <v>1</v>
      </c>
      <c r="B317" s="23" t="inlineStr">
        <is>
          <t>0149-2952</t>
        </is>
      </c>
      <c r="C317" s="23" t="inlineStr">
        <is>
          <t>FILTER FUEL</t>
        </is>
      </c>
      <c r="D317" s="23" t="inlineStr"/>
      <c r="E317" s="27" t="n"/>
      <c r="F317" s="9" t="n">
        <v>388.249</v>
      </c>
      <c r="G317" s="9">
        <f>E317*F317</f>
        <v/>
      </c>
      <c r="H317" s="9" t="n">
        <v>297</v>
      </c>
      <c r="I317" s="9">
        <f>E317*H317</f>
        <v/>
      </c>
      <c r="J317" s="23" t="inlineStr">
        <is>
          <t>web_search</t>
        </is>
      </c>
      <c r="K317" s="23" t="inlineStr">
        <is>
          <t>Diesel generator fuel filter</t>
        </is>
      </c>
      <c r="L317" s="23" t="inlineStr"/>
      <c r="M317" s="23" t="n"/>
    </row>
    <row r="318">
      <c r="A318" s="26" t="n">
        <v>2</v>
      </c>
      <c r="B318" s="23" t="inlineStr">
        <is>
          <t>0122-0961</t>
        </is>
      </c>
      <c r="C318" s="23" t="inlineStr">
        <is>
          <t>FILTER OIL LUBE</t>
        </is>
      </c>
      <c r="D318" s="23" t="inlineStr"/>
      <c r="E318" s="27" t="n"/>
      <c r="F318" s="9" t="n">
        <v>481.659</v>
      </c>
      <c r="G318" s="9">
        <f>E318*F318</f>
        <v/>
      </c>
      <c r="H318" s="9" t="n">
        <v>368</v>
      </c>
      <c r="I318" s="9">
        <f>E318*H318</f>
        <v/>
      </c>
      <c r="J318" s="23" t="inlineStr">
        <is>
          <t>web_search</t>
        </is>
      </c>
      <c r="K318" s="23" t="inlineStr">
        <is>
          <t>Diesel generator lube oil filter</t>
        </is>
      </c>
      <c r="L318" s="23" t="inlineStr"/>
      <c r="M318" s="23" t="n"/>
    </row>
    <row r="319">
      <c r="A319" s="26" t="n">
        <v>3</v>
      </c>
      <c r="B319" s="23" t="inlineStr">
        <is>
          <t>0140-4088</t>
        </is>
      </c>
      <c r="C319" s="23" t="inlineStr">
        <is>
          <t>ELEMENT - AIR CLEANER</t>
        </is>
      </c>
      <c r="D319" s="23" t="inlineStr"/>
      <c r="E319" s="27" t="n"/>
      <c r="F319" s="9" t="n">
        <v>1497.665</v>
      </c>
      <c r="G319" s="9">
        <f>E319*F319</f>
        <v/>
      </c>
      <c r="H319" s="9" t="n">
        <v>1145</v>
      </c>
      <c r="I319" s="9">
        <f>E319*H319</f>
        <v/>
      </c>
      <c r="J319" s="23" t="inlineStr">
        <is>
          <t>web_search</t>
        </is>
      </c>
      <c r="K319" s="23" t="inlineStr">
        <is>
          <t>Diesel generator air cleaner element</t>
        </is>
      </c>
      <c r="L319" s="23" t="inlineStr"/>
      <c r="M319" s="23" t="n"/>
    </row>
    <row r="320">
      <c r="A320" s="26" t="n">
        <v>4</v>
      </c>
      <c r="B320" s="23" t="inlineStr">
        <is>
          <t>506924</t>
        </is>
      </c>
      <c r="C320" s="23" t="inlineStr">
        <is>
          <t>VALVOLINE PREMIUM BLUE 7800 PLUS 1/10 LTR</t>
        </is>
      </c>
      <c r="D320" s="23" t="inlineStr"/>
      <c r="E320" s="27" t="n"/>
      <c r="F320" s="9" t="n">
        <v>6347.756</v>
      </c>
      <c r="G320" s="9">
        <f>E320*F320</f>
        <v/>
      </c>
      <c r="H320" s="9" t="n">
        <v>4850</v>
      </c>
      <c r="I320" s="9">
        <f>E320*H320</f>
        <v/>
      </c>
      <c r="J320" s="23" t="inlineStr">
        <is>
          <t>web_search</t>
        </is>
      </c>
      <c r="K320" s="23" t="inlineStr">
        <is>
          <t>Valvoline Premium Blue 7800 Plus engine oil 1/10 litre</t>
        </is>
      </c>
      <c r="L320" s="23" t="inlineStr"/>
      <c r="M320" s="23" t="n"/>
    </row>
    <row r="321">
      <c r="A321" s="26" t="n">
        <v>5</v>
      </c>
      <c r="B321" s="23" t="inlineStr">
        <is>
          <t>4926654</t>
        </is>
      </c>
      <c r="C321" s="23" t="inlineStr">
        <is>
          <t>INHIBITOR, CORROSION 10 LITERS</t>
        </is>
      </c>
      <c r="D321" s="23" t="inlineStr"/>
      <c r="E321" s="27" t="n"/>
      <c r="F321" s="9" t="n">
        <v>4582.76</v>
      </c>
      <c r="G321" s="9">
        <f>E321*F321</f>
        <v/>
      </c>
      <c r="H321" s="9" t="n">
        <v>3505</v>
      </c>
      <c r="I321" s="9">
        <f>E321*H321</f>
        <v/>
      </c>
      <c r="J321" s="23" t="inlineStr">
        <is>
          <t>web_search</t>
        </is>
      </c>
      <c r="K321" s="23" t="inlineStr">
        <is>
          <t>Corrosion inhibitor 10 litre drum</t>
        </is>
      </c>
      <c r="L321" s="23" t="inlineStr"/>
      <c r="M321" s="23" t="n"/>
    </row>
    <row r="322">
      <c r="A322" s="26" t="n">
        <v>6</v>
      </c>
      <c r="B322" s="23" t="inlineStr">
        <is>
          <t>A046V060</t>
        </is>
      </c>
      <c r="C322" s="23" t="inlineStr">
        <is>
          <t>TENSIONER, BELT</t>
        </is>
      </c>
      <c r="D322" s="23" t="inlineStr"/>
      <c r="E322" s="27" t="n"/>
      <c r="F322" s="9" t="n">
        <v>319.7227</v>
      </c>
      <c r="G322" s="9">
        <f>E322*F322</f>
        <v/>
      </c>
      <c r="H322" s="9" t="n">
        <v>244</v>
      </c>
      <c r="I322" s="9">
        <f>E322*H322</f>
        <v/>
      </c>
      <c r="J322" s="23" t="inlineStr">
        <is>
          <t>web_search</t>
        </is>
      </c>
      <c r="K322" s="23" t="inlineStr">
        <is>
          <t>Belt tensioner for DG set</t>
        </is>
      </c>
      <c r="L322" s="23" t="inlineStr"/>
      <c r="M322" s="23" t="n"/>
    </row>
    <row r="323">
      <c r="A323" s="26" t="n">
        <v>7</v>
      </c>
      <c r="B323" s="23" t="inlineStr">
        <is>
          <t>A054V669</t>
        </is>
      </c>
      <c r="C323" s="23" t="inlineStr">
        <is>
          <t>PIPE</t>
        </is>
      </c>
      <c r="D323" s="23" t="inlineStr"/>
      <c r="E323" s="27" t="n"/>
      <c r="F323" s="9" t="n">
        <v>818.9</v>
      </c>
      <c r="G323" s="9">
        <f>E323*F323</f>
        <v/>
      </c>
      <c r="H323" s="9" t="n">
        <v>626</v>
      </c>
      <c r="I323" s="9">
        <f>E323*H323</f>
        <v/>
      </c>
      <c r="J323" s="23" t="inlineStr">
        <is>
          <t>web_search</t>
        </is>
      </c>
      <c r="K323" s="23" t="inlineStr">
        <is>
          <t>Pipe assembly for DG set fuel/coolant system</t>
        </is>
      </c>
      <c r="L323" s="23" t="inlineStr"/>
      <c r="M323" s="23" t="n"/>
    </row>
    <row r="324">
      <c r="A324" s="26" t="n">
        <v>8</v>
      </c>
      <c r="B324" s="23" t="inlineStr">
        <is>
          <t>A054V674</t>
        </is>
      </c>
      <c r="C324" s="23" t="inlineStr">
        <is>
          <t>PIPE</t>
        </is>
      </c>
      <c r="D324" s="23" t="inlineStr"/>
      <c r="E324" s="27" t="n"/>
      <c r="F324" s="9" t="n">
        <v>838.2864</v>
      </c>
      <c r="G324" s="9">
        <f>E324*F324</f>
        <v/>
      </c>
      <c r="H324" s="9" t="n">
        <v>641</v>
      </c>
      <c r="I324" s="9">
        <f>E324*H324</f>
        <v/>
      </c>
      <c r="J324" s="23" t="inlineStr">
        <is>
          <t>web_search</t>
        </is>
      </c>
      <c r="K324" s="23" t="inlineStr">
        <is>
          <t>Pipe assembly for DG set fuel/coolant system</t>
        </is>
      </c>
      <c r="L324" s="23" t="inlineStr"/>
      <c r="M324" s="23" t="n"/>
    </row>
    <row r="325">
      <c r="A325" s="26" t="n">
        <v>9</v>
      </c>
      <c r="B325" s="23" t="inlineStr">
        <is>
          <t>0333-0810</t>
        </is>
      </c>
      <c r="C325" s="23" t="inlineStr">
        <is>
          <t>THERMOSTAT ASSY</t>
        </is>
      </c>
      <c r="D325" s="23" t="inlineStr"/>
      <c r="E325" s="27" t="n"/>
      <c r="F325" s="9" t="n">
        <v>511.5724</v>
      </c>
      <c r="G325" s="9">
        <f>E325*F325</f>
        <v/>
      </c>
      <c r="H325" s="9" t="n">
        <v>409.26</v>
      </c>
      <c r="I325" s="9">
        <f>E325*H325</f>
        <v/>
      </c>
      <c r="J325" s="23" t="inlineStr">
        <is>
          <t>derived_estimate</t>
        </is>
      </c>
      <c r="K325" s="23" t="inlineStr">
        <is>
          <t>Thermostat assembly for cooling system temperature control</t>
        </is>
      </c>
      <c r="L325" s="23" t="inlineStr"/>
      <c r="M325" s="23" t="n"/>
    </row>
    <row r="326">
      <c r="A326" s="26" t="n">
        <v>10</v>
      </c>
      <c r="B326" s="23" t="inlineStr">
        <is>
          <t>0130-8439</t>
        </is>
      </c>
      <c r="C326" s="23" t="inlineStr">
        <is>
          <t>GASKET - THERMOSTAT</t>
        </is>
      </c>
      <c r="D326" s="23" t="inlineStr"/>
      <c r="E326" s="27" t="n"/>
      <c r="F326" s="9" t="n">
        <v>17.15826</v>
      </c>
      <c r="G326" s="9">
        <f>E326*F326</f>
        <v/>
      </c>
      <c r="H326" s="9" t="n">
        <v>13.73</v>
      </c>
      <c r="I326" s="9">
        <f>E326*H326</f>
        <v/>
      </c>
      <c r="J326" s="23" t="inlineStr">
        <is>
          <t>derived_estimate</t>
        </is>
      </c>
      <c r="K326" s="23" t="inlineStr">
        <is>
          <t>Gasket for thermostat housing</t>
        </is>
      </c>
      <c r="L326" s="23" t="inlineStr"/>
      <c r="M326" s="23" t="n"/>
    </row>
    <row r="327">
      <c r="A327" s="26" t="n">
        <v>11</v>
      </c>
      <c r="B327" s="23" t="inlineStr">
        <is>
          <t>0132-0530</t>
        </is>
      </c>
      <c r="C327" s="23" t="inlineStr">
        <is>
          <t>PUMP - WATER</t>
        </is>
      </c>
      <c r="D327" s="23" t="inlineStr"/>
      <c r="E327" s="27" t="n"/>
      <c r="F327" s="9" t="n">
        <v>2387.92</v>
      </c>
      <c r="G327" s="9">
        <f>E327*F327</f>
        <v/>
      </c>
      <c r="H327" s="9" t="n">
        <v>1910.34</v>
      </c>
      <c r="I327" s="9">
        <f>E327*H327</f>
        <v/>
      </c>
      <c r="J327" s="23" t="inlineStr">
        <is>
          <t>derived_estimate</t>
        </is>
      </c>
      <c r="K327" s="23" t="inlineStr">
        <is>
          <t>Water pump for DG set cooling system</t>
        </is>
      </c>
      <c r="L327" s="23" t="inlineStr"/>
      <c r="M327" s="23" t="n"/>
    </row>
    <row r="328">
      <c r="A328" s="26" t="n">
        <v>12</v>
      </c>
      <c r="B328" s="23" t="inlineStr">
        <is>
          <t>A054A641</t>
        </is>
      </c>
      <c r="C328" s="23" t="inlineStr">
        <is>
          <t>HOSE</t>
        </is>
      </c>
      <c r="D328" s="23" t="inlineStr"/>
      <c r="E328" s="27" t="n"/>
      <c r="F328" s="9" t="n">
        <v>411.0244</v>
      </c>
      <c r="G328" s="9">
        <f>E328*F328</f>
        <v/>
      </c>
      <c r="H328" s="9" t="n">
        <v>328.82</v>
      </c>
      <c r="I328" s="9">
        <f>E328*H328</f>
        <v/>
      </c>
      <c r="J328" s="23" t="inlineStr">
        <is>
          <t>derived_estimate</t>
        </is>
      </c>
      <c r="K328" s="23" t="inlineStr">
        <is>
          <t>Hose for cooling/fuel system</t>
        </is>
      </c>
      <c r="L328" s="23" t="inlineStr"/>
      <c r="M328" s="23" t="n"/>
    </row>
    <row r="329">
      <c r="A329" s="26" t="n">
        <v>13</v>
      </c>
      <c r="B329" s="23" t="inlineStr">
        <is>
          <t>A043M460</t>
        </is>
      </c>
      <c r="C329" s="23" t="inlineStr">
        <is>
          <t>HOSE</t>
        </is>
      </c>
      <c r="D329" s="23" t="inlineStr"/>
      <c r="E329" s="27" t="n"/>
      <c r="F329" s="9" t="n">
        <v>1610.501</v>
      </c>
      <c r="G329" s="9">
        <f>E329*F329</f>
        <v/>
      </c>
      <c r="H329" s="9" t="n">
        <v>1288.4</v>
      </c>
      <c r="I329" s="9">
        <f>E329*H329</f>
        <v/>
      </c>
      <c r="J329" s="23" t="inlineStr">
        <is>
          <t>derived_estimate</t>
        </is>
      </c>
      <c r="K329" s="23" t="inlineStr">
        <is>
          <t>Hose for cooling/fuel system</t>
        </is>
      </c>
      <c r="L329" s="23" t="inlineStr"/>
      <c r="M329" s="23" t="n"/>
    </row>
    <row r="330">
      <c r="A330" s="26" t="n">
        <v>14</v>
      </c>
      <c r="B330" s="23" t="inlineStr">
        <is>
          <t>A053Z290</t>
        </is>
      </c>
      <c r="C330" s="23" t="inlineStr">
        <is>
          <t>HOSE, WATER</t>
        </is>
      </c>
      <c r="D330" s="23" t="inlineStr"/>
      <c r="E330" s="27" t="n"/>
      <c r="F330" s="9" t="n">
        <v>1249.338</v>
      </c>
      <c r="G330" s="9">
        <f>E330*F330</f>
        <v/>
      </c>
      <c r="H330" s="9" t="n">
        <v>999.47</v>
      </c>
      <c r="I330" s="9">
        <f>E330*H330</f>
        <v/>
      </c>
      <c r="J330" s="23" t="inlineStr">
        <is>
          <t>derived_estimate</t>
        </is>
      </c>
      <c r="K330" s="23" t="inlineStr">
        <is>
          <t>Water hose for cooling system</t>
        </is>
      </c>
      <c r="L330" s="23" t="inlineStr"/>
      <c r="M330" s="23" t="n"/>
    </row>
    <row r="331">
      <c r="A331" s="26" t="n">
        <v>15</v>
      </c>
      <c r="B331" s="23" t="inlineStr">
        <is>
          <t>A042Y504</t>
        </is>
      </c>
      <c r="C331" s="23" t="inlineStr">
        <is>
          <t>CLAMP, HOSE</t>
        </is>
      </c>
      <c r="D331" s="23" t="inlineStr"/>
      <c r="E331" s="27" t="n"/>
      <c r="F331" s="9" t="n">
        <v>76.18481</v>
      </c>
      <c r="G331" s="9">
        <f>E331*F331</f>
        <v/>
      </c>
      <c r="H331" s="9" t="n">
        <v>60.95</v>
      </c>
      <c r="I331" s="9">
        <f>E331*H331</f>
        <v/>
      </c>
      <c r="J331" s="23" t="inlineStr">
        <is>
          <t>derived_estimate</t>
        </is>
      </c>
      <c r="K331" s="23" t="inlineStr">
        <is>
          <t>Hose clamp for securing hoses</t>
        </is>
      </c>
      <c r="L331" s="23" t="inlineStr"/>
      <c r="M331" s="23" t="n"/>
    </row>
    <row r="332">
      <c r="A332" s="26" t="n">
        <v>16</v>
      </c>
      <c r="B332" s="23" t="inlineStr">
        <is>
          <t>A048P488</t>
        </is>
      </c>
      <c r="C332" s="23" t="inlineStr">
        <is>
          <t>CLAMP, HOSE</t>
        </is>
      </c>
      <c r="D332" s="23" t="inlineStr"/>
      <c r="E332" s="27" t="n"/>
      <c r="F332" s="9" t="n">
        <v>138.8405</v>
      </c>
      <c r="G332" s="9">
        <f>E332*F332</f>
        <v/>
      </c>
      <c r="H332" s="9" t="n">
        <v>111.07</v>
      </c>
      <c r="I332" s="9">
        <f>E332*H332</f>
        <v/>
      </c>
      <c r="J332" s="23" t="inlineStr">
        <is>
          <t>derived_estimate</t>
        </is>
      </c>
      <c r="K332" s="23" t="inlineStr">
        <is>
          <t>Hose clamp for securing hoses</t>
        </is>
      </c>
      <c r="L332" s="23" t="inlineStr"/>
      <c r="M332" s="23" t="n"/>
    </row>
    <row r="333">
      <c r="A333" s="26" t="n">
        <v>17</v>
      </c>
      <c r="B333" s="23" t="inlineStr">
        <is>
          <t>A054J009</t>
        </is>
      </c>
      <c r="C333" s="23" t="inlineStr">
        <is>
          <t>CLAMP, HOSE</t>
        </is>
      </c>
      <c r="D333" s="23" t="inlineStr"/>
      <c r="E333" s="27" t="n"/>
      <c r="F333" s="9" t="n">
        <v>173.5172</v>
      </c>
      <c r="G333" s="9">
        <f>E333*F333</f>
        <v/>
      </c>
      <c r="H333" s="9" t="n">
        <v>138.81</v>
      </c>
      <c r="I333" s="9">
        <f>E333*H333</f>
        <v/>
      </c>
      <c r="J333" s="23" t="inlineStr">
        <is>
          <t>derived_estimate</t>
        </is>
      </c>
      <c r="K333" s="23" t="inlineStr">
        <is>
          <t>Hose clamp for securing hoses</t>
        </is>
      </c>
      <c r="L333" s="23" t="inlineStr"/>
      <c r="M333" s="23" t="n"/>
    </row>
    <row r="334">
      <c r="A334" s="26" t="n">
        <v>18</v>
      </c>
      <c r="B334" s="23" t="inlineStr">
        <is>
          <t>11300002G</t>
        </is>
      </c>
      <c r="C334" s="23" t="inlineStr">
        <is>
          <t>BATTERY CABLE SET</t>
        </is>
      </c>
      <c r="D334" s="23" t="inlineStr"/>
      <c r="E334" s="27" t="n"/>
      <c r="F334" s="9" t="n">
        <v>4653.357</v>
      </c>
      <c r="G334" s="9">
        <f>E334*F334</f>
        <v/>
      </c>
      <c r="H334" s="9" t="n">
        <v>3722.69</v>
      </c>
      <c r="I334" s="9">
        <f>E334*H334</f>
        <v/>
      </c>
      <c r="J334" s="23" t="inlineStr">
        <is>
          <t>derived_estimate</t>
        </is>
      </c>
      <c r="K334" s="23" t="inlineStr">
        <is>
          <t>Battery cable set for electrical connections</t>
        </is>
      </c>
      <c r="L334" s="23" t="inlineStr"/>
      <c r="M334" s="23" t="n"/>
    </row>
    <row r="335">
      <c r="A335" s="26" t="n">
        <v>19</v>
      </c>
      <c r="B335" s="23" t="inlineStr">
        <is>
          <t>BAT-0012</t>
        </is>
      </c>
      <c r="C335" s="23" t="inlineStr">
        <is>
          <t>BATTERY TERMINAL</t>
        </is>
      </c>
      <c r="D335" s="23" t="inlineStr"/>
      <c r="E335" s="27" t="n"/>
      <c r="F335" s="9" t="n">
        <v>387.782</v>
      </c>
      <c r="G335" s="9">
        <f>E335*F335</f>
        <v/>
      </c>
      <c r="H335" s="9" t="n">
        <v>310.23</v>
      </c>
      <c r="I335" s="9">
        <f>E335*H335</f>
        <v/>
      </c>
      <c r="J335" s="23" t="inlineStr">
        <is>
          <t>derived_estimate</t>
        </is>
      </c>
      <c r="K335" s="23" t="inlineStr">
        <is>
          <t>Battery terminal for electrical connection</t>
        </is>
      </c>
      <c r="L335" s="23" t="inlineStr"/>
      <c r="M335" s="23" t="n"/>
    </row>
    <row r="336">
      <c r="A336" s="11" t="inlineStr">
        <is>
          <t>TOTAL</t>
        </is>
      </c>
      <c r="B336" s="11" t="n"/>
      <c r="C336" s="11" t="n"/>
      <c r="D336" s="11" t="n"/>
      <c r="E336" s="11" t="n"/>
      <c r="F336" s="11" t="n"/>
      <c r="G336" s="12">
        <f>SUM(G317:G335)</f>
        <v/>
      </c>
      <c r="H336" s="11" t="n"/>
      <c r="I336" s="12">
        <f>SUM(I317:I335)</f>
        <v/>
      </c>
      <c r="J336" s="11" t="n"/>
      <c r="K336" s="11" t="n"/>
      <c r="L336" s="11" t="n"/>
      <c r="M336" s="11" t="n"/>
    </row>
    <row r="338">
      <c r="A338" s="24" t="inlineStr">
        <is>
          <t>Schedule B</t>
        </is>
      </c>
      <c r="B338" s="5" t="n"/>
      <c r="C338" s="5" t="n"/>
      <c r="D338" s="5" t="n"/>
      <c r="E338" s="5" t="n"/>
      <c r="F338" s="5" t="n"/>
      <c r="G338" s="5" t="n"/>
      <c r="H338" s="5" t="n"/>
      <c r="I338" s="5" t="n"/>
      <c r="J338" s="5" t="n"/>
      <c r="K338" s="5" t="n"/>
      <c r="L338" s="5" t="n"/>
      <c r="M338" s="6" t="n"/>
    </row>
    <row r="339" ht="28" customHeight="1">
      <c r="A339" s="25" t="inlineStr">
        <is>
          <t>SN</t>
        </is>
      </c>
      <c r="B339" s="25" t="inlineStr">
        <is>
          <t>Item Code</t>
        </is>
      </c>
      <c r="C339" s="25" t="inlineStr">
        <is>
          <t>Item Description</t>
        </is>
      </c>
      <c r="D339" s="25" t="inlineStr">
        <is>
          <t>UoM</t>
        </is>
      </c>
      <c r="E339" s="25" t="inlineStr">
        <is>
          <t>Qty</t>
        </is>
      </c>
      <c r="F339" s="25" t="inlineStr">
        <is>
          <t>Tender Rate (₹)</t>
        </is>
      </c>
      <c r="G339" s="25" t="inlineStr">
        <is>
          <t>Tender Amount (₹)</t>
        </is>
      </c>
      <c r="H339" s="25" t="inlineStr">
        <is>
          <t>Est. Unit Cost (₹)</t>
        </is>
      </c>
      <c r="I339" s="25" t="inlineStr">
        <is>
          <t>Est. Total Cost (₹)</t>
        </is>
      </c>
      <c r="J339" s="25" t="inlineStr">
        <is>
          <t>Source</t>
        </is>
      </c>
      <c r="K339" s="25" t="inlineStr">
        <is>
          <t>Cost build-up note</t>
        </is>
      </c>
      <c r="L339" s="25" t="inlineStr">
        <is>
          <t>OEM / Manufacturer</t>
        </is>
      </c>
      <c r="M339" s="25" t="inlineStr">
        <is>
          <t>Web Source</t>
        </is>
      </c>
    </row>
    <row r="340">
      <c r="A340" s="26" t="n">
        <v>1</v>
      </c>
      <c r="B340" s="23" t="inlineStr">
        <is>
          <t>1</t>
        </is>
      </c>
      <c r="C340" s="23" t="inlineStr">
        <is>
          <t>Check, Servicing cum CAMC of Air Cooler, Line Contractor/Reversal Pneumatic cylinders, Compressors, pressure switches, solenoid etc. as per explanatory notes.</t>
        </is>
      </c>
      <c r="D340" s="23" t="inlineStr">
        <is>
          <t>Numbers</t>
        </is>
      </c>
      <c r="E340" s="27" t="n">
        <v>24</v>
      </c>
      <c r="F340" s="9" t="n">
        <v>65686.91</v>
      </c>
      <c r="G340" s="9">
        <f>E340*F340</f>
        <v/>
      </c>
      <c r="H340" s="9" t="n">
        <v>50000</v>
      </c>
      <c r="I340" s="9">
        <f>E340*H340</f>
        <v/>
      </c>
      <c r="J340" s="23" t="inlineStr">
        <is>
          <t>derived_estimate</t>
        </is>
      </c>
      <c r="K340" s="23" t="inlineStr">
        <is>
          <t>Air cooler servicing, pneumatic cylinder maintenance, compressor check, solenoid valve testing</t>
        </is>
      </c>
      <c r="L340" s="23" t="inlineStr"/>
      <c r="M340" s="23" t="n"/>
    </row>
    <row r="341">
      <c r="A341" s="26" t="n">
        <v>2</v>
      </c>
      <c r="B341" s="23" t="inlineStr">
        <is>
          <t>2</t>
        </is>
      </c>
      <c r="C341" s="23" t="inlineStr">
        <is>
          <t>Check, Servicing cum CAMC of electrical wiring system of engine/ transmission with control panel accessories repairs including auxiliary contactors/coil &amp; lugs, insulation materials etc. &amp; to attend all break downs as and when required for each T/Wagon as per explanatory notes</t>
        </is>
      </c>
      <c r="D341" s="23" t="inlineStr">
        <is>
          <t>Numbers</t>
        </is>
      </c>
      <c r="E341" s="27" t="n">
        <v>24</v>
      </c>
      <c r="F341" s="9" t="n">
        <v>75194.31</v>
      </c>
      <c r="G341" s="9">
        <f>E341*F341</f>
        <v/>
      </c>
      <c r="H341" s="9" t="n">
        <v>57500</v>
      </c>
      <c r="I341" s="9">
        <f>E341*H341</f>
        <v/>
      </c>
      <c r="J341" s="23" t="inlineStr">
        <is>
          <t>derived_estimate</t>
        </is>
      </c>
      <c r="K341" s="23" t="inlineStr">
        <is>
          <t>Electrical wiring inspection, control panel repair, contactor/coil replacement, insulation testing</t>
        </is>
      </c>
      <c r="L341" s="23" t="inlineStr"/>
      <c r="M341" s="23" t="n"/>
    </row>
    <row r="342">
      <c r="A342" s="26" t="n">
        <v>3</v>
      </c>
      <c r="B342" s="23" t="inlineStr">
        <is>
          <t>3</t>
        </is>
      </c>
      <c r="C342" s="23" t="inlineStr">
        <is>
          <t>Check, Servicing cum CAMC for Self Starter, &amp; auxiliary Alternator, repairs &amp; replacement &amp; to attend all break downs as and when required for each T/Wagon. (24 V battery alternator as per explanatory notes.</t>
        </is>
      </c>
      <c r="D342" s="23" t="inlineStr">
        <is>
          <t>Numbers</t>
        </is>
      </c>
      <c r="E342" s="27" t="n">
        <v>24</v>
      </c>
      <c r="F342" s="9" t="n">
        <v>30612.35</v>
      </c>
      <c r="G342" s="9">
        <f>E342*F342</f>
        <v/>
      </c>
      <c r="H342" s="9" t="n">
        <v>23500</v>
      </c>
      <c r="I342" s="9">
        <f>E342*H342</f>
        <v/>
      </c>
      <c r="J342" s="23" t="inlineStr">
        <is>
          <t>derived_estimate</t>
        </is>
      </c>
      <c r="K342" s="23" t="inlineStr">
        <is>
          <t>Self-starter motor servicing, alternator brush replacement, 24V system testing</t>
        </is>
      </c>
      <c r="L342" s="23" t="inlineStr"/>
      <c r="M342" s="23" t="n"/>
    </row>
    <row r="343">
      <c r="A343" s="26" t="n">
        <v>4</v>
      </c>
      <c r="B343" s="23" t="inlineStr">
        <is>
          <t>B4</t>
        </is>
      </c>
      <c r="C343" s="23" t="inlineStr">
        <is>
          <t>Check, Servicing cum CAMC of traction alternator including repairs/ maintenance of rectifier, diode, RRA wheel, minor winding of aux. exciter rotor and exciter armature as per explanatory notes.</t>
        </is>
      </c>
      <c r="D343" s="23" t="inlineStr">
        <is>
          <t>Nos.</t>
        </is>
      </c>
      <c r="E343" s="27" t="n">
        <v>24</v>
      </c>
      <c r="F343" s="9" t="n">
        <v>127551.51</v>
      </c>
      <c r="G343" s="9">
        <f>E343*F343</f>
        <v/>
      </c>
      <c r="H343" s="9" t="n">
        <v>97500</v>
      </c>
      <c r="I343" s="9">
        <f>E343*H343</f>
        <v/>
      </c>
      <c r="J343" s="23" t="inlineStr">
        <is>
          <t>derived_estimate</t>
        </is>
      </c>
      <c r="K343" s="23" t="inlineStr">
        <is>
          <t>Traction alternator overhaul, rectifier/diode replacement, RRA wheel servicing, exciter winding repair</t>
        </is>
      </c>
      <c r="L343" s="23" t="inlineStr"/>
      <c r="M343" s="23" t="n"/>
    </row>
    <row r="344">
      <c r="A344" s="26" t="n">
        <v>5</v>
      </c>
      <c r="B344" s="23" t="inlineStr">
        <is>
          <t>5</t>
        </is>
      </c>
      <c r="C344" s="23" t="inlineStr">
        <is>
          <t>Check, Servicing cum CAMC of Hydraulic system including cleaning of Hydraulic Tank, servicing of Hydraulic oil cooler and fan drive motors, limit switch, hydraulic tank oil level indicator as per explanatory notes.</t>
        </is>
      </c>
      <c r="D344" s="23" t="inlineStr">
        <is>
          <t>Numbers</t>
        </is>
      </c>
      <c r="E344" s="27" t="n">
        <v>24</v>
      </c>
      <c r="F344" s="9" t="n">
        <v>99061.33</v>
      </c>
      <c r="G344" s="9">
        <f>E344*F344</f>
        <v/>
      </c>
      <c r="H344" s="9" t="n">
        <v>75500</v>
      </c>
      <c r="I344" s="9">
        <f>E344*H344</f>
        <v/>
      </c>
      <c r="J344" s="23" t="inlineStr">
        <is>
          <t>derived_estimate</t>
        </is>
      </c>
      <c r="K344" s="23" t="inlineStr">
        <is>
          <t>Hydraulic tank cleaning, oil cooler servicing, fan motor maintenance, limit switch testing</t>
        </is>
      </c>
      <c r="L344" s="23" t="inlineStr"/>
      <c r="M344" s="23" t="n"/>
    </row>
    <row r="345">
      <c r="A345" s="26" t="n">
        <v>6</v>
      </c>
      <c r="B345" s="23" t="inlineStr">
        <is>
          <t>6</t>
        </is>
      </c>
      <c r="C345" s="23" t="inlineStr">
        <is>
          <t>Check, Servicing cum CAMC of Generator set 10/15KVA of various make with all spare parts as per explanatory notes.</t>
        </is>
      </c>
      <c r="D345" s="23" t="inlineStr">
        <is>
          <t>Numbers</t>
        </is>
      </c>
      <c r="E345" s="27" t="n">
        <v>24</v>
      </c>
      <c r="F345" s="9" t="n">
        <v>61599.34</v>
      </c>
      <c r="G345" s="9">
        <f>E345*F345</f>
        <v/>
      </c>
      <c r="H345" s="9" t="n">
        <v>47000</v>
      </c>
      <c r="I345" s="9">
        <f>E345*H345</f>
        <v/>
      </c>
      <c r="J345" s="23" t="inlineStr">
        <is>
          <t>derived_estimate</t>
        </is>
      </c>
      <c r="K345" s="23" t="inlineStr">
        <is>
          <t>DG set fuel/oil filter replacement, alternator check, governor servicing</t>
        </is>
      </c>
      <c r="L345" s="23" t="inlineStr"/>
      <c r="M345" s="23" t="n"/>
    </row>
    <row r="346">
      <c r="A346" s="26" t="n">
        <v>7</v>
      </c>
      <c r="B346" s="23" t="inlineStr">
        <is>
          <t>7</t>
        </is>
      </c>
      <c r="C346" s="23" t="inlineStr">
        <is>
          <t>Check, Servicing cum CAMC of major switchgears for repairs/replacement of master controller, rectiﬁer group, resister, RRU &amp; reversal assy. Includes maintenance , repairs and replacement wherever required (LS) &amp; to attend all break downs as and when required for each T/Wagon as per explanatory notes</t>
        </is>
      </c>
      <c r="D346" s="23" t="inlineStr">
        <is>
          <t>Numbers</t>
        </is>
      </c>
      <c r="E346" s="27" t="n">
        <v>24</v>
      </c>
      <c r="F346" s="9" t="n">
        <v>96939.16</v>
      </c>
      <c r="G346" s="9">
        <f>E346*F346</f>
        <v/>
      </c>
      <c r="H346" s="9" t="n">
        <v>74000</v>
      </c>
      <c r="I346" s="9">
        <f>E346*H346</f>
        <v/>
      </c>
      <c r="J346" s="23" t="inlineStr">
        <is>
          <t>derived_estimate</t>
        </is>
      </c>
      <c r="K346" s="23" t="inlineStr">
        <is>
          <t>Master controller servicing, rectifier group maintenance, resistor replacement, RRU overhaul</t>
        </is>
      </c>
      <c r="L346" s="23" t="inlineStr"/>
      <c r="M346" s="23" t="n"/>
    </row>
    <row r="347">
      <c r="A347" s="26" t="n">
        <v>8</v>
      </c>
      <c r="B347" s="23" t="inlineStr">
        <is>
          <t>8</t>
        </is>
      </c>
      <c r="C347" s="23" t="inlineStr">
        <is>
          <t>Check, Servicing cum CAMC of traction motors including repairs/replacement of pinion wheel gear, bearings, belts, repairs/ lamination gel coating, treatment of armature &amp; to attend all break downs as and when required for each T/Wagon (Rates are per TW Per year) as per explanatory notes.</t>
        </is>
      </c>
      <c r="D347" s="23" t="inlineStr">
        <is>
          <t>Numbers</t>
        </is>
      </c>
      <c r="E347" s="27" t="n">
        <v>24</v>
      </c>
      <c r="F347" s="9" t="n">
        <v>66326.8</v>
      </c>
      <c r="G347" s="9">
        <f>E347*F347</f>
        <v/>
      </c>
      <c r="H347" s="9" t="n">
        <v>50500</v>
      </c>
      <c r="I347" s="9">
        <f>E347*H347</f>
        <v/>
      </c>
      <c r="J347" s="23" t="inlineStr">
        <is>
          <t>derived_estimate</t>
        </is>
      </c>
      <c r="K347" s="23" t="inlineStr">
        <is>
          <t>Traction motor overhaul, pinion wheel/gear replacement, bearing service, belt replacement</t>
        </is>
      </c>
      <c r="L347" s="23" t="inlineStr"/>
      <c r="M347" s="23" t="n"/>
    </row>
    <row r="348">
      <c r="A348" s="26" t="n">
        <v>9</v>
      </c>
      <c r="B348" s="23" t="inlineStr">
        <is>
          <t>9</t>
        </is>
      </c>
      <c r="C348" s="23" t="inlineStr">
        <is>
          <t>Check, Servicing cum CAMC of Hydraulic platform as per explanatory notes</t>
        </is>
      </c>
      <c r="D348" s="23" t="inlineStr">
        <is>
          <t>Numbers</t>
        </is>
      </c>
      <c r="E348" s="27" t="n">
        <v>24</v>
      </c>
      <c r="F348" s="9" t="n">
        <v>25000.95</v>
      </c>
      <c r="G348" s="9">
        <f>E348*F348</f>
        <v/>
      </c>
      <c r="H348" s="9" t="n">
        <v>19000</v>
      </c>
      <c r="I348" s="9">
        <f>E348*H348</f>
        <v/>
      </c>
      <c r="J348" s="23" t="inlineStr">
        <is>
          <t>derived_estimate</t>
        </is>
      </c>
      <c r="K348" s="23" t="inlineStr">
        <is>
          <t>Hydraulic platform inspection, hose replacement, seal kit service</t>
        </is>
      </c>
      <c r="L348" s="23" t="inlineStr"/>
      <c r="M348" s="23" t="n"/>
    </row>
    <row r="349">
      <c r="A349" s="26" t="n">
        <v>10</v>
      </c>
      <c r="B349" s="23" t="inlineStr">
        <is>
          <t>B10</t>
        </is>
      </c>
      <c r="C349" s="23" t="inlineStr">
        <is>
          <t>Repairing and Rewinding of BHEL/CGL Make Main alternator (If required) (DETC)</t>
        </is>
      </c>
      <c r="D349" s="23" t="inlineStr">
        <is>
          <t>Nos.</t>
        </is>
      </c>
      <c r="E349" s="27" t="n">
        <v>1</v>
      </c>
      <c r="F349" s="9" t="n">
        <v>618288.05</v>
      </c>
      <c r="G349" s="9">
        <f>E349*F349</f>
        <v/>
      </c>
      <c r="H349" s="9" t="n">
        <v>494630.44</v>
      </c>
      <c r="I349" s="9">
        <f>E349*H349</f>
        <v/>
      </c>
      <c r="J349" s="23" t="inlineStr">
        <is>
          <t>derived_estimate</t>
        </is>
      </c>
      <c r="K349" s="23" t="inlineStr">
        <is>
          <t>BHEL/CGL main alternator rewinding and repair service</t>
        </is>
      </c>
      <c r="L349" s="23" t="inlineStr"/>
      <c r="M349" s="23" t="n"/>
    </row>
    <row r="350">
      <c r="A350" s="26" t="n">
        <v>11</v>
      </c>
      <c r="B350" s="23" t="inlineStr">
        <is>
          <t>11</t>
        </is>
      </c>
      <c r="C350" s="23" t="inlineStr">
        <is>
          <t>Repairing and Rewinding of KEL Make Auxillary alternator (If required) (DETC).</t>
        </is>
      </c>
      <c r="D350" s="23" t="inlineStr">
        <is>
          <t>Numbers</t>
        </is>
      </c>
      <c r="E350" s="27" t="n">
        <v>1</v>
      </c>
      <c r="F350" s="9" t="n">
        <v>35332.49</v>
      </c>
      <c r="G350" s="9">
        <f>E350*F350</f>
        <v/>
      </c>
      <c r="H350" s="9" t="n">
        <v>28265.99</v>
      </c>
      <c r="I350" s="9">
        <f>E350*H350</f>
        <v/>
      </c>
      <c r="J350" s="23" t="inlineStr">
        <is>
          <t>derived_estimate</t>
        </is>
      </c>
      <c r="K350" s="23" t="inlineStr">
        <is>
          <t>KEL auxiliary alternator rewinding and repair service</t>
        </is>
      </c>
      <c r="L350" s="23" t="inlineStr"/>
      <c r="M350" s="23" t="n"/>
    </row>
    <row r="351">
      <c r="A351" s="26" t="n">
        <v>12</v>
      </c>
      <c r="B351" s="23" t="inlineStr">
        <is>
          <t>B12</t>
        </is>
      </c>
      <c r="C351" s="23" t="inlineStr">
        <is>
          <t>Service and Repairing of Air Dryer assembly. (Need Basis)</t>
        </is>
      </c>
      <c r="D351" s="23" t="inlineStr">
        <is>
          <t>Nos.</t>
        </is>
      </c>
      <c r="E351" s="27" t="n">
        <v>1</v>
      </c>
      <c r="F351" s="9" t="n">
        <v>205459.24</v>
      </c>
      <c r="G351" s="9">
        <f>E351*F351</f>
        <v/>
      </c>
      <c r="H351" s="9" t="n">
        <v>164367.39</v>
      </c>
      <c r="I351" s="9">
        <f>E351*H351</f>
        <v/>
      </c>
      <c r="J351" s="23" t="inlineStr">
        <is>
          <t>derived_estimate</t>
        </is>
      </c>
      <c r="K351" s="23" t="inlineStr">
        <is>
          <t>Air dryer assembly service and repair for pneumatic system</t>
        </is>
      </c>
      <c r="L351" s="23" t="inlineStr"/>
      <c r="M351" s="23" t="n"/>
    </row>
    <row r="352">
      <c r="A352" s="11" t="inlineStr">
        <is>
          <t>TOTAL</t>
        </is>
      </c>
      <c r="B352" s="11" t="n"/>
      <c r="C352" s="11" t="n"/>
      <c r="D352" s="11" t="n"/>
      <c r="E352" s="11" t="n"/>
      <c r="F352" s="11" t="n"/>
      <c r="G352" s="12">
        <f>SUM(G340:G351)</f>
        <v/>
      </c>
      <c r="H352" s="11" t="n"/>
      <c r="I352" s="12">
        <f>SUM(I340:I351)</f>
        <v/>
      </c>
      <c r="J352" s="11" t="n"/>
      <c r="K352" s="11" t="n"/>
      <c r="L352" s="11" t="n"/>
      <c r="M352" s="11" t="n"/>
    </row>
    <row r="354">
      <c r="A354" s="24" t="inlineStr">
        <is>
          <t>Schedule ELECTRICAL AND PNEUMATIC SPARES FOR DETC</t>
        </is>
      </c>
      <c r="B354" s="5" t="n"/>
      <c r="C354" s="5" t="n"/>
      <c r="D354" s="5" t="n"/>
      <c r="E354" s="5" t="n"/>
      <c r="F354" s="5" t="n"/>
      <c r="G354" s="5" t="n"/>
      <c r="H354" s="5" t="n"/>
      <c r="I354" s="5" t="n"/>
      <c r="J354" s="5" t="n"/>
      <c r="K354" s="5" t="n"/>
      <c r="L354" s="5" t="n"/>
      <c r="M354" s="6" t="n"/>
    </row>
    <row r="355" ht="28" customHeight="1">
      <c r="A355" s="25" t="inlineStr">
        <is>
          <t>SN</t>
        </is>
      </c>
      <c r="B355" s="25" t="inlineStr">
        <is>
          <t>Item Code</t>
        </is>
      </c>
      <c r="C355" s="25" t="inlineStr">
        <is>
          <t>Item Description</t>
        </is>
      </c>
      <c r="D355" s="25" t="inlineStr">
        <is>
          <t>UoM</t>
        </is>
      </c>
      <c r="E355" s="25" t="inlineStr">
        <is>
          <t>Qty</t>
        </is>
      </c>
      <c r="F355" s="25" t="inlineStr">
        <is>
          <t>Tender Rate (₹)</t>
        </is>
      </c>
      <c r="G355" s="25" t="inlineStr">
        <is>
          <t>Tender Amount (₹)</t>
        </is>
      </c>
      <c r="H355" s="25" t="inlineStr">
        <is>
          <t>Est. Unit Cost (₹)</t>
        </is>
      </c>
      <c r="I355" s="25" t="inlineStr">
        <is>
          <t>Est. Total Cost (₹)</t>
        </is>
      </c>
      <c r="J355" s="25" t="inlineStr">
        <is>
          <t>Source</t>
        </is>
      </c>
      <c r="K355" s="25" t="inlineStr">
        <is>
          <t>Cost build-up note</t>
        </is>
      </c>
      <c r="L355" s="25" t="inlineStr">
        <is>
          <t>OEM / Manufacturer</t>
        </is>
      </c>
      <c r="M355" s="25" t="inlineStr">
        <is>
          <t>Web Source</t>
        </is>
      </c>
    </row>
    <row r="356">
      <c r="A356" s="26" t="n">
        <v>1</v>
      </c>
      <c r="B356" s="23" t="inlineStr">
        <is>
          <t>4071832</t>
        </is>
      </c>
      <c r="C356" s="23" t="inlineStr">
        <is>
          <t>Pressure Gauge</t>
        </is>
      </c>
      <c r="D356" s="23" t="inlineStr"/>
      <c r="E356" s="27" t="n"/>
      <c r="F356" s="9" t="n">
        <v>3017.96</v>
      </c>
      <c r="G356" s="9">
        <f>E356*F356</f>
        <v/>
      </c>
      <c r="H356" s="9" t="n">
        <v>2300</v>
      </c>
      <c r="I356" s="9">
        <f>E356*H356</f>
        <v/>
      </c>
      <c r="J356" s="23" t="inlineStr">
        <is>
          <t>web_search</t>
        </is>
      </c>
      <c r="K356" s="23" t="inlineStr">
        <is>
          <t>Pressure gauge for hydraulic/pneumatic system</t>
        </is>
      </c>
      <c r="L356" s="23" t="inlineStr"/>
      <c r="M356" s="23" t="n"/>
    </row>
    <row r="357">
      <c r="A357" s="26" t="n">
        <v>2</v>
      </c>
      <c r="B357" s="23" t="inlineStr">
        <is>
          <t>4071831</t>
        </is>
      </c>
      <c r="C357" s="23" t="inlineStr">
        <is>
          <t>Oil Temperature Gauge</t>
        </is>
      </c>
      <c r="D357" s="23" t="inlineStr"/>
      <c r="E357" s="27" t="n"/>
      <c r="F357" s="9" t="n">
        <v>2925.13</v>
      </c>
      <c r="G357" s="9">
        <f>E357*F357</f>
        <v/>
      </c>
      <c r="H357" s="9" t="n">
        <v>2240</v>
      </c>
      <c r="I357" s="9">
        <f>E357*H357</f>
        <v/>
      </c>
      <c r="J357" s="23" t="inlineStr">
        <is>
          <t>web_search</t>
        </is>
      </c>
      <c r="K357" s="23" t="inlineStr">
        <is>
          <t>Oil temperature gauge for engine monitoring</t>
        </is>
      </c>
      <c r="L357" s="23" t="inlineStr"/>
      <c r="M357" s="23" t="n"/>
    </row>
    <row r="358">
      <c r="A358" s="26" t="n">
        <v>3</v>
      </c>
      <c r="B358" s="23" t="inlineStr">
        <is>
          <t>4327021</t>
        </is>
      </c>
      <c r="C358" s="23" t="inlineStr">
        <is>
          <t>Switch, Temperature</t>
        </is>
      </c>
      <c r="D358" s="23" t="inlineStr"/>
      <c r="E358" s="27" t="n"/>
      <c r="F358" s="9" t="n">
        <v>7163.89</v>
      </c>
      <c r="G358" s="9">
        <f>E358*F358</f>
        <v/>
      </c>
      <c r="H358" s="9" t="n">
        <v>5480</v>
      </c>
      <c r="I358" s="9">
        <f>E358*H358</f>
        <v/>
      </c>
      <c r="J358" s="23" t="inlineStr">
        <is>
          <t>web_search</t>
        </is>
      </c>
      <c r="K358" s="23" t="inlineStr">
        <is>
          <t>Temperature switch for coolant/oil monitoring</t>
        </is>
      </c>
      <c r="L358" s="23" t="inlineStr"/>
      <c r="M358" s="23" t="n"/>
    </row>
    <row r="359">
      <c r="A359" s="26" t="n">
        <v>4</v>
      </c>
      <c r="B359" s="23" t="inlineStr">
        <is>
          <t>2897691</t>
        </is>
      </c>
      <c r="C359" s="23" t="inlineStr">
        <is>
          <t>Switch, Pressure</t>
        </is>
      </c>
      <c r="D359" s="23" t="inlineStr"/>
      <c r="E359" s="27" t="n"/>
      <c r="F359" s="9" t="n">
        <v>7836</v>
      </c>
      <c r="G359" s="9">
        <f>E359*F359</f>
        <v/>
      </c>
      <c r="H359" s="9" t="n">
        <v>5990</v>
      </c>
      <c r="I359" s="9">
        <f>E359*H359</f>
        <v/>
      </c>
      <c r="J359" s="23" t="inlineStr">
        <is>
          <t>web_search</t>
        </is>
      </c>
      <c r="K359" s="23" t="inlineStr">
        <is>
          <t>Pressure switch for hydraulic/pneumatic system</t>
        </is>
      </c>
      <c r="L359" s="23" t="inlineStr"/>
      <c r="M359" s="23" t="n"/>
    </row>
    <row r="360">
      <c r="A360" s="26" t="n">
        <v>5</v>
      </c>
      <c r="B360" s="23" t="inlineStr">
        <is>
          <t>3875311</t>
        </is>
      </c>
      <c r="C360" s="23" t="inlineStr">
        <is>
          <t>Light Indicator</t>
        </is>
      </c>
      <c r="D360" s="23" t="inlineStr"/>
      <c r="E360" s="27" t="n"/>
      <c r="F360" s="9" t="n">
        <v>406.69</v>
      </c>
      <c r="G360" s="9">
        <f>E360*F360</f>
        <v/>
      </c>
      <c r="H360" s="9" t="n">
        <v>310</v>
      </c>
      <c r="I360" s="9">
        <f>E360*H360</f>
        <v/>
      </c>
      <c r="J360" s="23" t="inlineStr">
        <is>
          <t>web_search</t>
        </is>
      </c>
      <c r="K360" s="23" t="inlineStr">
        <is>
          <t>Panel light indicator for system status</t>
        </is>
      </c>
      <c r="L360" s="23" t="inlineStr"/>
      <c r="M360" s="23" t="n"/>
    </row>
    <row r="361">
      <c r="A361" s="26" t="n">
        <v>6</v>
      </c>
      <c r="B361" s="23" t="inlineStr">
        <is>
          <t>2865519</t>
        </is>
      </c>
      <c r="C361" s="23" t="inlineStr">
        <is>
          <t>Switch Magnetic</t>
        </is>
      </c>
      <c r="D361" s="23" t="inlineStr"/>
      <c r="E361" s="27" t="n"/>
      <c r="F361" s="9" t="n">
        <v>571.15</v>
      </c>
      <c r="G361" s="9">
        <f>E361*F361</f>
        <v/>
      </c>
      <c r="H361" s="9" t="n">
        <v>437</v>
      </c>
      <c r="I361" s="9">
        <f>E361*H361</f>
        <v/>
      </c>
      <c r="J361" s="23" t="inlineStr">
        <is>
          <t>web_search</t>
        </is>
      </c>
      <c r="K361" s="23" t="inlineStr">
        <is>
          <t>Magnetic switch for solenoid valve control</t>
        </is>
      </c>
      <c r="L361" s="23" t="inlineStr"/>
      <c r="M361" s="23" t="n"/>
    </row>
    <row r="362">
      <c r="A362" s="26" t="n">
        <v>7</v>
      </c>
      <c r="B362" s="23" t="inlineStr">
        <is>
          <t>500278</t>
        </is>
      </c>
      <c r="C362" s="23" t="inlineStr">
        <is>
          <t>Switch Toggle (As Required)</t>
        </is>
      </c>
      <c r="D362" s="23" t="inlineStr"/>
      <c r="E362" s="27" t="n"/>
      <c r="F362" s="9" t="n">
        <v>198.6</v>
      </c>
      <c r="G362" s="9">
        <f>E362*F362</f>
        <v/>
      </c>
      <c r="H362" s="9" t="n">
        <v>152</v>
      </c>
      <c r="I362" s="9">
        <f>E362*H362</f>
        <v/>
      </c>
      <c r="J362" s="23" t="inlineStr">
        <is>
          <t>web_search</t>
        </is>
      </c>
      <c r="K362" s="23" t="inlineStr">
        <is>
          <t>Toggle switch for manual control</t>
        </is>
      </c>
      <c r="L362" s="23" t="inlineStr"/>
      <c r="M362" s="23" t="n"/>
    </row>
    <row r="363">
      <c r="A363" s="26" t="n">
        <v>8</v>
      </c>
      <c r="B363" s="23" t="inlineStr">
        <is>
          <t>504975</t>
        </is>
      </c>
      <c r="C363" s="23" t="inlineStr">
        <is>
          <t>Switch Key</t>
        </is>
      </c>
      <c r="D363" s="23" t="inlineStr"/>
      <c r="E363" s="27" t="n"/>
      <c r="F363" s="9" t="n">
        <v>429.34</v>
      </c>
      <c r="G363" s="9">
        <f>E363*F363</f>
        <v/>
      </c>
      <c r="H363" s="9" t="n">
        <v>328</v>
      </c>
      <c r="I363" s="9">
        <f>E363*H363</f>
        <v/>
      </c>
      <c r="J363" s="23" t="inlineStr">
        <is>
          <t>web_search</t>
        </is>
      </c>
      <c r="K363" s="23" t="inlineStr">
        <is>
          <t>Key switch for ignition/control</t>
        </is>
      </c>
      <c r="L363" s="23" t="inlineStr"/>
      <c r="M363" s="23" t="n"/>
    </row>
    <row r="364">
      <c r="A364" s="26" t="n">
        <v>9</v>
      </c>
      <c r="B364" s="23" t="inlineStr">
        <is>
          <t>504395</t>
        </is>
      </c>
      <c r="C364" s="23" t="inlineStr">
        <is>
          <t>Switch Push Button</t>
        </is>
      </c>
      <c r="D364" s="23" t="inlineStr"/>
      <c r="E364" s="27" t="n"/>
      <c r="F364" s="9" t="n">
        <v>394.1</v>
      </c>
      <c r="G364" s="9">
        <f>E364*F364</f>
        <v/>
      </c>
      <c r="H364" s="9" t="n">
        <v>315.28</v>
      </c>
      <c r="I364" s="9">
        <f>E364*H364</f>
        <v/>
      </c>
      <c r="J364" s="23" t="inlineStr">
        <is>
          <t>derived_estimate</t>
        </is>
      </c>
      <c r="K364" s="23" t="inlineStr">
        <is>
          <t>Push button switch for control circuit</t>
        </is>
      </c>
      <c r="L364" s="23" t="inlineStr"/>
      <c r="M364" s="23" t="n"/>
    </row>
    <row r="365">
      <c r="A365" s="26" t="n">
        <v>10</v>
      </c>
      <c r="B365" s="23" t="inlineStr">
        <is>
          <t>213273</t>
        </is>
      </c>
      <c r="C365" s="23" t="inlineStr">
        <is>
          <t>Harness Magnetic Pickup</t>
        </is>
      </c>
      <c r="D365" s="23" t="inlineStr"/>
      <c r="E365" s="27" t="n"/>
      <c r="F365" s="9" t="n">
        <v>5794.07</v>
      </c>
      <c r="G365" s="9">
        <f>E365*F365</f>
        <v/>
      </c>
      <c r="H365" s="9" t="n">
        <v>4635.26</v>
      </c>
      <c r="I365" s="9">
        <f>E365*H365</f>
        <v/>
      </c>
      <c r="J365" s="23" t="inlineStr">
        <is>
          <t>derived_estimate</t>
        </is>
      </c>
      <c r="K365" s="23" t="inlineStr">
        <is>
          <t>Wiring harness for magnetic pickup sensor</t>
        </is>
      </c>
      <c r="L365" s="23" t="inlineStr"/>
      <c r="M365" s="23" t="n"/>
    </row>
    <row r="366">
      <c r="A366" s="26" t="n">
        <v>11</v>
      </c>
      <c r="B366" s="23" t="inlineStr">
        <is>
          <t>3875360</t>
        </is>
      </c>
      <c r="C366" s="23" t="inlineStr">
        <is>
          <t>Magnetic Pickup</t>
        </is>
      </c>
      <c r="D366" s="23" t="inlineStr"/>
      <c r="E366" s="27" t="n"/>
      <c r="F366" s="9" t="n">
        <v>4310.98</v>
      </c>
      <c r="G366" s="9">
        <f>E366*F366</f>
        <v/>
      </c>
      <c r="H366" s="9" t="n">
        <v>3448.78</v>
      </c>
      <c r="I366" s="9">
        <f>E366*H366</f>
        <v/>
      </c>
      <c r="J366" s="23" t="inlineStr">
        <is>
          <t>derived_estimate</t>
        </is>
      </c>
      <c r="K366" s="23" t="inlineStr">
        <is>
          <t>Magnetic pickup sensor for speed sensing</t>
        </is>
      </c>
      <c r="L366" s="23" t="inlineStr"/>
      <c r="M366" s="23" t="n"/>
    </row>
    <row r="367">
      <c r="A367" s="26" t="n">
        <v>21</v>
      </c>
      <c r="B367" s="23" t="inlineStr">
        <is>
          <t>2879766</t>
        </is>
      </c>
      <c r="C367" s="23" t="inlineStr">
        <is>
          <t>RPM Meter (Cab 1)</t>
        </is>
      </c>
      <c r="D367" s="23" t="inlineStr"/>
      <c r="E367" s="27" t="n"/>
      <c r="F367" s="9" t="n">
        <v>44239.04</v>
      </c>
      <c r="G367" s="9">
        <f>E367*F367</f>
        <v/>
      </c>
      <c r="H367" s="9" t="n">
        <v>35391.23</v>
      </c>
      <c r="I367" s="9">
        <f>E367*H367</f>
        <v/>
      </c>
      <c r="J367" s="23" t="inlineStr">
        <is>
          <t>derived_estimate</t>
        </is>
      </c>
      <c r="K367" s="23" t="inlineStr">
        <is>
          <t>RPM meter/tachometer for cab 1 display</t>
        </is>
      </c>
      <c r="L367" s="23" t="inlineStr"/>
      <c r="M367" s="23" t="n"/>
    </row>
    <row r="368">
      <c r="A368" s="26" t="n">
        <v>22</v>
      </c>
      <c r="B368" s="23" t="inlineStr">
        <is>
          <t>3231408</t>
        </is>
      </c>
      <c r="C368" s="23" t="inlineStr">
        <is>
          <t>RPM Meter (Cab 2)</t>
        </is>
      </c>
      <c r="D368" s="23" t="inlineStr"/>
      <c r="E368" s="27" t="n"/>
      <c r="F368" s="9" t="n">
        <v>9381.17</v>
      </c>
      <c r="G368" s="9">
        <f>E368*F368</f>
        <v/>
      </c>
      <c r="H368" s="9" t="n">
        <v>7504.94</v>
      </c>
      <c r="I368" s="9">
        <f>E368*H368</f>
        <v/>
      </c>
      <c r="J368" s="23" t="inlineStr">
        <is>
          <t>derived_estimate</t>
        </is>
      </c>
      <c r="K368" s="23" t="inlineStr">
        <is>
          <t>RPM meter/tachometer for cab 2 display</t>
        </is>
      </c>
      <c r="L368" s="23" t="inlineStr"/>
      <c r="M368" s="23" t="n"/>
    </row>
    <row r="369">
      <c r="A369" s="26" t="n">
        <v>23</v>
      </c>
      <c r="B369" s="23" t="inlineStr">
        <is>
          <t>4071829</t>
        </is>
      </c>
      <c r="C369" s="23" t="inlineStr">
        <is>
          <t>Water Temperature Gauge</t>
        </is>
      </c>
      <c r="D369" s="23" t="inlineStr"/>
      <c r="E369" s="27" t="n"/>
      <c r="F369" s="9" t="n">
        <v>7626.81</v>
      </c>
      <c r="G369" s="9">
        <f>E369*F369</f>
        <v/>
      </c>
      <c r="H369" s="9" t="n">
        <v>6101.45</v>
      </c>
      <c r="I369" s="9">
        <f>E369*H369</f>
        <v/>
      </c>
      <c r="J369" s="23" t="inlineStr">
        <is>
          <t>derived_estimate</t>
        </is>
      </c>
      <c r="K369" s="23" t="inlineStr">
        <is>
          <t>Water temperature gauge for coolant monitoring</t>
        </is>
      </c>
      <c r="L369" s="23" t="inlineStr"/>
      <c r="M369" s="23" t="n"/>
    </row>
    <row r="370">
      <c r="A370" s="26" t="n">
        <v>24</v>
      </c>
      <c r="B370" s="23" t="inlineStr">
        <is>
          <t>4084368</t>
        </is>
      </c>
      <c r="C370" s="23" t="inlineStr">
        <is>
          <t>Switch Fluid Level</t>
        </is>
      </c>
      <c r="D370" s="23" t="inlineStr"/>
      <c r="E370" s="27" t="n"/>
      <c r="F370" s="9" t="n">
        <v>28475.44</v>
      </c>
      <c r="G370" s="9">
        <f>E370*F370</f>
        <v/>
      </c>
      <c r="H370" s="9" t="n">
        <v>22780.35</v>
      </c>
      <c r="I370" s="9">
        <f>E370*H370</f>
        <v/>
      </c>
      <c r="J370" s="23" t="inlineStr">
        <is>
          <t>derived_estimate</t>
        </is>
      </c>
      <c r="K370" s="23" t="inlineStr">
        <is>
          <t>Fluid level switch for coolant/oil monitoring</t>
        </is>
      </c>
      <c r="L370" s="23" t="inlineStr"/>
      <c r="M370" s="23" t="n"/>
    </row>
    <row r="371">
      <c r="A371" s="26" t="n">
        <v>25</v>
      </c>
      <c r="B371" s="23" t="inlineStr">
        <is>
          <t>4327027</t>
        </is>
      </c>
      <c r="C371" s="23" t="inlineStr">
        <is>
          <t>Switch Temperature</t>
        </is>
      </c>
      <c r="D371" s="23" t="inlineStr"/>
      <c r="E371" s="27" t="n"/>
      <c r="F371" s="9" t="n">
        <v>10655.63</v>
      </c>
      <c r="G371" s="9">
        <f>E371*F371</f>
        <v/>
      </c>
      <c r="H371" s="9" t="n">
        <v>8524.5</v>
      </c>
      <c r="I371" s="9">
        <f>E371*H371</f>
        <v/>
      </c>
      <c r="J371" s="23" t="inlineStr">
        <is>
          <t>derived_estimate</t>
        </is>
      </c>
      <c r="K371" s="23" t="inlineStr">
        <is>
          <t>Temperature switch for engine thermal protection</t>
        </is>
      </c>
      <c r="L371" s="23" t="inlineStr"/>
      <c r="M371" s="23" t="n"/>
    </row>
    <row r="372">
      <c r="A372" s="26" t="n">
        <v>26</v>
      </c>
      <c r="B372" s="23" t="inlineStr">
        <is>
          <t>4084367</t>
        </is>
      </c>
      <c r="C372" s="23" t="inlineStr">
        <is>
          <t>Switch Fluid Level</t>
        </is>
      </c>
      <c r="D372" s="23" t="inlineStr"/>
      <c r="E372" s="27" t="n"/>
      <c r="F372" s="9" t="n">
        <v>26330.99</v>
      </c>
      <c r="G372" s="9">
        <f>E372*F372</f>
        <v/>
      </c>
      <c r="H372" s="9" t="n">
        <v>21064.79</v>
      </c>
      <c r="I372" s="9">
        <f>E372*H372</f>
        <v/>
      </c>
      <c r="J372" s="23" t="inlineStr">
        <is>
          <t>derived_estimate</t>
        </is>
      </c>
      <c r="K372" s="23" t="inlineStr">
        <is>
          <t>Derived from published reference Rs 26,330.99 by stripping 10% overhead + 15% margin (÷1.250).</t>
        </is>
      </c>
      <c r="L372" s="23" t="inlineStr"/>
      <c r="M372" s="23" t="n"/>
    </row>
    <row r="373">
      <c r="A373" s="26" t="n">
        <v>27</v>
      </c>
      <c r="B373" s="23" t="inlineStr">
        <is>
          <t>4071835</t>
        </is>
      </c>
      <c r="C373" s="23" t="inlineStr">
        <is>
          <t>Sensor Pressure</t>
        </is>
      </c>
      <c r="D373" s="23" t="inlineStr"/>
      <c r="E373" s="27" t="n"/>
      <c r="F373" s="9" t="n">
        <v>8969.719999999999</v>
      </c>
      <c r="G373" s="9">
        <f>E373*F373</f>
        <v/>
      </c>
      <c r="H373" s="9" t="n">
        <v>7175.78</v>
      </c>
      <c r="I373" s="9">
        <f>E373*H373</f>
        <v/>
      </c>
      <c r="J373" s="23" t="inlineStr">
        <is>
          <t>derived_estimate</t>
        </is>
      </c>
      <c r="K373" s="23" t="inlineStr">
        <is>
          <t>Derived from published reference Rs 8,969.72 by stripping 10% overhead + 15% margin (÷1.250).</t>
        </is>
      </c>
      <c r="L373" s="23" t="inlineStr"/>
      <c r="M373" s="23" t="n"/>
    </row>
    <row r="374">
      <c r="A374" s="26" t="n">
        <v>28</v>
      </c>
      <c r="B374" s="23" t="inlineStr">
        <is>
          <t>4071834</t>
        </is>
      </c>
      <c r="C374" s="23" t="inlineStr">
        <is>
          <t>Sensor Temperature</t>
        </is>
      </c>
      <c r="D374" s="23" t="inlineStr"/>
      <c r="E374" s="27" t="n"/>
      <c r="F374" s="9" t="n">
        <v>7390.46</v>
      </c>
      <c r="G374" s="9">
        <f>E374*F374</f>
        <v/>
      </c>
      <c r="H374" s="9" t="n">
        <v>5912.37</v>
      </c>
      <c r="I374" s="9">
        <f>E374*H374</f>
        <v/>
      </c>
      <c r="J374" s="23" t="inlineStr">
        <is>
          <t>derived_estimate</t>
        </is>
      </c>
      <c r="K374" s="23" t="inlineStr">
        <is>
          <t>Derived from published reference Rs 7,390.46 by stripping 10% overhead + 15% margin (÷1.250).</t>
        </is>
      </c>
      <c r="L374" s="23" t="inlineStr"/>
      <c r="M374" s="23" t="n"/>
    </row>
    <row r="375">
      <c r="A375" s="26" t="n">
        <v>29</v>
      </c>
      <c r="B375" s="23" t="inlineStr">
        <is>
          <t>4053654</t>
        </is>
      </c>
      <c r="C375" s="23" t="inlineStr">
        <is>
          <t>Switch Relay (As Required)</t>
        </is>
      </c>
      <c r="D375" s="23" t="inlineStr"/>
      <c r="E375" s="27" t="n"/>
      <c r="F375" s="9" t="n">
        <v>10177.19</v>
      </c>
      <c r="G375" s="9">
        <f>E375*F375</f>
        <v/>
      </c>
      <c r="H375" s="9" t="n">
        <v>8141.75</v>
      </c>
      <c r="I375" s="9">
        <f>E375*H375</f>
        <v/>
      </c>
      <c r="J375" s="23" t="inlineStr">
        <is>
          <t>derived_estimate</t>
        </is>
      </c>
      <c r="K375" s="23" t="inlineStr">
        <is>
          <t>Derived from published reference Rs 10,177.19 by stripping 10% overhead + 15% margin (÷1.250).</t>
        </is>
      </c>
      <c r="L375" s="23" t="inlineStr"/>
      <c r="M375" s="23" t="n"/>
    </row>
    <row r="376">
      <c r="A376" s="26" t="n">
        <v>30</v>
      </c>
      <c r="B376" s="23" t="inlineStr">
        <is>
          <t>5559512</t>
        </is>
      </c>
      <c r="C376" s="23" t="inlineStr">
        <is>
          <t>Ammeter</t>
        </is>
      </c>
      <c r="D376" s="23" t="inlineStr"/>
      <c r="E376" s="27" t="n"/>
      <c r="F376" s="9" t="n">
        <v>3002.05</v>
      </c>
      <c r="G376" s="9">
        <f>E376*F376</f>
        <v/>
      </c>
      <c r="H376" s="9" t="n">
        <v>2401.64</v>
      </c>
      <c r="I376" s="9">
        <f>E376*H376</f>
        <v/>
      </c>
      <c r="J376" s="23" t="inlineStr">
        <is>
          <t>derived_estimate</t>
        </is>
      </c>
      <c r="K376" s="23" t="inlineStr">
        <is>
          <t>Derived from published reference Rs 3,002.05 by stripping 10% overhead + 15% margin (÷1.250).</t>
        </is>
      </c>
      <c r="L376" s="23" t="inlineStr"/>
      <c r="M376" s="23" t="n"/>
    </row>
    <row r="377">
      <c r="A377" s="26" t="n">
        <v>31</v>
      </c>
      <c r="B377" s="23" t="inlineStr">
        <is>
          <t>3056556</t>
        </is>
      </c>
      <c r="C377" s="23" t="inlineStr">
        <is>
          <t>Harness</t>
        </is>
      </c>
      <c r="D377" s="23" t="inlineStr"/>
      <c r="E377" s="27" t="n"/>
      <c r="F377" s="9" t="n">
        <v>3119.34</v>
      </c>
      <c r="G377" s="9">
        <f>E377*F377</f>
        <v/>
      </c>
      <c r="H377" s="9" t="n">
        <v>2495.47</v>
      </c>
      <c r="I377" s="9">
        <f>E377*H377</f>
        <v/>
      </c>
      <c r="J377" s="23" t="inlineStr">
        <is>
          <t>derived_estimate</t>
        </is>
      </c>
      <c r="K377" s="23" t="inlineStr">
        <is>
          <t>Derived from published reference Rs 3,119.34 by stripping 10% overhead + 15% margin (÷1.250).</t>
        </is>
      </c>
      <c r="L377" s="23" t="inlineStr"/>
      <c r="M377" s="23" t="n"/>
    </row>
    <row r="378">
      <c r="A378" s="26" t="n">
        <v>32</v>
      </c>
      <c r="B378" s="23" t="inlineStr">
        <is>
          <t>213272</t>
        </is>
      </c>
      <c r="C378" s="23" t="inlineStr">
        <is>
          <t>Magnetic Pickup</t>
        </is>
      </c>
      <c r="D378" s="23" t="inlineStr"/>
      <c r="E378" s="27" t="n"/>
      <c r="F378" s="9" t="n">
        <v>22832.47</v>
      </c>
      <c r="G378" s="9">
        <f>E378*F378</f>
        <v/>
      </c>
      <c r="H378" s="9" t="n">
        <v>18265.98</v>
      </c>
      <c r="I378" s="9">
        <f>E378*H378</f>
        <v/>
      </c>
      <c r="J378" s="23" t="inlineStr">
        <is>
          <t>derived_estimate</t>
        </is>
      </c>
      <c r="K378" s="23" t="inlineStr">
        <is>
          <t>Derived from published reference Rs 22,832.47 by stripping 10% overhead + 15% margin (÷1.250).</t>
        </is>
      </c>
      <c r="L378" s="23" t="inlineStr"/>
      <c r="M378" s="23" t="n"/>
    </row>
    <row r="379">
      <c r="A379" s="26" t="n">
        <v>33</v>
      </c>
      <c r="B379" s="23" t="inlineStr">
        <is>
          <t>A063V923</t>
        </is>
      </c>
      <c r="C379" s="23" t="inlineStr">
        <is>
          <t>Ampere Meter</t>
        </is>
      </c>
      <c r="D379" s="23" t="inlineStr"/>
      <c r="E379" s="27" t="n"/>
      <c r="F379" s="9" t="n">
        <v>22191.28</v>
      </c>
      <c r="G379" s="9">
        <f>E379*F379</f>
        <v/>
      </c>
      <c r="H379" s="9" t="n">
        <v>17753.02</v>
      </c>
      <c r="I379" s="9">
        <f>E379*H379</f>
        <v/>
      </c>
      <c r="J379" s="23" t="inlineStr">
        <is>
          <t>derived_estimate</t>
        </is>
      </c>
      <c r="K379" s="23" t="inlineStr">
        <is>
          <t>Derived from published reference Rs 22,191.28 by stripping 10% overhead + 15% margin (÷1.250).</t>
        </is>
      </c>
      <c r="L379" s="23" t="inlineStr"/>
      <c r="M379" s="23" t="n"/>
    </row>
    <row r="380">
      <c r="A380" s="26" t="n">
        <v>34</v>
      </c>
      <c r="B380" s="23" t="inlineStr">
        <is>
          <t>A062N867</t>
        </is>
      </c>
      <c r="C380" s="23" t="inlineStr">
        <is>
          <t>MR Pressure Switch – Pneumatic</t>
        </is>
      </c>
      <c r="D380" s="23" t="inlineStr"/>
      <c r="E380" s="27" t="n"/>
      <c r="F380" s="9" t="n">
        <v>75451.64999999999</v>
      </c>
      <c r="G380" s="9">
        <f>E380*F380</f>
        <v/>
      </c>
      <c r="H380" s="9" t="n">
        <v>60361.32</v>
      </c>
      <c r="I380" s="9">
        <f>E380*H380</f>
        <v/>
      </c>
      <c r="J380" s="23" t="inlineStr">
        <is>
          <t>derived_estimate</t>
        </is>
      </c>
      <c r="K380" s="23" t="inlineStr">
        <is>
          <t>Derived from published reference Rs 75,451.65 by stripping 10% overhead + 15% margin (÷1.250).</t>
        </is>
      </c>
      <c r="L380" s="23" t="inlineStr"/>
      <c r="M380" s="23" t="n"/>
    </row>
    <row r="381">
      <c r="A381" s="11" t="inlineStr">
        <is>
          <t>TOTAL</t>
        </is>
      </c>
      <c r="B381" s="11" t="n"/>
      <c r="C381" s="11" t="n"/>
      <c r="D381" s="11" t="n"/>
      <c r="E381" s="11" t="n"/>
      <c r="F381" s="11" t="n"/>
      <c r="G381" s="12">
        <f>SUM(G356:G380)</f>
        <v/>
      </c>
      <c r="H381" s="11" t="n"/>
      <c r="I381" s="12">
        <f>SUM(I356:I380)</f>
        <v/>
      </c>
      <c r="J381" s="11" t="n"/>
      <c r="K381" s="11" t="n"/>
      <c r="L381" s="11" t="n"/>
      <c r="M381" s="11" t="n"/>
    </row>
    <row r="383">
      <c r="A383" s="24" t="inlineStr">
        <is>
          <t>Schedule HYDRAULIC HOSES</t>
        </is>
      </c>
      <c r="B383" s="5" t="n"/>
      <c r="C383" s="5" t="n"/>
      <c r="D383" s="5" t="n"/>
      <c r="E383" s="5" t="n"/>
      <c r="F383" s="5" t="n"/>
      <c r="G383" s="5" t="n"/>
      <c r="H383" s="5" t="n"/>
      <c r="I383" s="5" t="n"/>
      <c r="J383" s="5" t="n"/>
      <c r="K383" s="5" t="n"/>
      <c r="L383" s="5" t="n"/>
      <c r="M383" s="6" t="n"/>
    </row>
    <row r="384" ht="28" customHeight="1">
      <c r="A384" s="25" t="inlineStr">
        <is>
          <t>SN</t>
        </is>
      </c>
      <c r="B384" s="25" t="inlineStr">
        <is>
          <t>Item Code</t>
        </is>
      </c>
      <c r="C384" s="25" t="inlineStr">
        <is>
          <t>Item Description</t>
        </is>
      </c>
      <c r="D384" s="25" t="inlineStr">
        <is>
          <t>UoM</t>
        </is>
      </c>
      <c r="E384" s="25" t="inlineStr">
        <is>
          <t>Qty</t>
        </is>
      </c>
      <c r="F384" s="25" t="inlineStr">
        <is>
          <t>Tender Rate (₹)</t>
        </is>
      </c>
      <c r="G384" s="25" t="inlineStr">
        <is>
          <t>Tender Amount (₹)</t>
        </is>
      </c>
      <c r="H384" s="25" t="inlineStr">
        <is>
          <t>Est. Unit Cost (₹)</t>
        </is>
      </c>
      <c r="I384" s="25" t="inlineStr">
        <is>
          <t>Est. Total Cost (₹)</t>
        </is>
      </c>
      <c r="J384" s="25" t="inlineStr">
        <is>
          <t>Source</t>
        </is>
      </c>
      <c r="K384" s="25" t="inlineStr">
        <is>
          <t>Cost build-up note</t>
        </is>
      </c>
      <c r="L384" s="25" t="inlineStr">
        <is>
          <t>OEM / Manufacturer</t>
        </is>
      </c>
      <c r="M384" s="25" t="inlineStr">
        <is>
          <t>Web Source</t>
        </is>
      </c>
    </row>
    <row r="385">
      <c r="A385" s="26" t="n">
        <v>1</v>
      </c>
      <c r="B385" s="23" t="inlineStr">
        <is>
          <t>TSS-001050</t>
        </is>
      </c>
      <c r="C385" s="23" t="inlineStr">
        <is>
          <t>HOSE, FLEXIBLE</t>
        </is>
      </c>
      <c r="D385" s="23" t="inlineStr"/>
      <c r="E385" s="27" t="n"/>
      <c r="F385" s="9" t="n">
        <v>7553.48</v>
      </c>
      <c r="G385" s="9">
        <f>E385*F385</f>
        <v/>
      </c>
      <c r="H385" s="9" t="n">
        <v>5780</v>
      </c>
      <c r="I385" s="9">
        <f>E385*H385</f>
        <v/>
      </c>
      <c r="J385" s="23" t="inlineStr">
        <is>
          <t>web_search</t>
        </is>
      </c>
      <c r="K385" s="23" t="inlineStr">
        <is>
          <t>Flexible hydraulic hose assembly TSS-001050</t>
        </is>
      </c>
      <c r="L385" s="23" t="inlineStr"/>
      <c r="M385" s="23" t="n"/>
    </row>
    <row r="386">
      <c r="A386" s="26" t="n">
        <v>2</v>
      </c>
      <c r="B386" s="23" t="inlineStr">
        <is>
          <t>TSS-002010</t>
        </is>
      </c>
      <c r="C386" s="23" t="inlineStr">
        <is>
          <t>HOSE, FLEXIBLE</t>
        </is>
      </c>
      <c r="D386" s="23" t="inlineStr"/>
      <c r="E386" s="27" t="n"/>
      <c r="F386" s="9" t="n">
        <v>7953.81</v>
      </c>
      <c r="G386" s="9">
        <f>E386*F386</f>
        <v/>
      </c>
      <c r="H386" s="9" t="n">
        <v>6080</v>
      </c>
      <c r="I386" s="9">
        <f>E386*H386</f>
        <v/>
      </c>
      <c r="J386" s="23" t="inlineStr">
        <is>
          <t>web_search</t>
        </is>
      </c>
      <c r="K386" s="23" t="inlineStr">
        <is>
          <t>Flexible hydraulic hose assembly TSS-002010</t>
        </is>
      </c>
      <c r="L386" s="23" t="inlineStr"/>
      <c r="M386" s="23" t="n"/>
    </row>
    <row r="387">
      <c r="A387" s="26" t="n">
        <v>3</v>
      </c>
      <c r="B387" s="23" t="inlineStr">
        <is>
          <t>TSS-003015</t>
        </is>
      </c>
      <c r="C387" s="23" t="inlineStr">
        <is>
          <t>HOSE, FLEXIBLE</t>
        </is>
      </c>
      <c r="D387" s="23" t="inlineStr"/>
      <c r="E387" s="27" t="n"/>
      <c r="F387" s="9" t="n">
        <v>9823.59</v>
      </c>
      <c r="G387" s="9">
        <f>E387*F387</f>
        <v/>
      </c>
      <c r="H387" s="9" t="n">
        <v>7510</v>
      </c>
      <c r="I387" s="9">
        <f>E387*H387</f>
        <v/>
      </c>
      <c r="J387" s="23" t="inlineStr">
        <is>
          <t>web_search</t>
        </is>
      </c>
      <c r="K387" s="23" t="inlineStr">
        <is>
          <t>Flexible hydraulic hose assembly TSS-003015</t>
        </is>
      </c>
      <c r="L387" s="23" t="inlineStr"/>
      <c r="M387" s="23" t="n"/>
    </row>
    <row r="388">
      <c r="A388" s="26" t="n">
        <v>4</v>
      </c>
      <c r="B388" s="23" t="inlineStr">
        <is>
          <t>TSS-004016</t>
        </is>
      </c>
      <c r="C388" s="23" t="inlineStr">
        <is>
          <t>HOSE, FLEXIBLE</t>
        </is>
      </c>
      <c r="D388" s="23" t="inlineStr"/>
      <c r="E388" s="27" t="n"/>
      <c r="F388" s="9" t="n">
        <v>4124.38</v>
      </c>
      <c r="G388" s="9">
        <f>E388*F388</f>
        <v/>
      </c>
      <c r="H388" s="9" t="n">
        <v>3155</v>
      </c>
      <c r="I388" s="9">
        <f>E388*H388</f>
        <v/>
      </c>
      <c r="J388" s="23" t="inlineStr">
        <is>
          <t>web_search</t>
        </is>
      </c>
      <c r="K388" s="23" t="inlineStr">
        <is>
          <t>Flexible hydraulic hose assembly TSS-004016</t>
        </is>
      </c>
      <c r="L388" s="23" t="inlineStr"/>
      <c r="M388" s="23" t="n"/>
    </row>
    <row r="389">
      <c r="A389" s="26" t="n">
        <v>5</v>
      </c>
      <c r="B389" s="23" t="inlineStr">
        <is>
          <t>TSS-005020</t>
        </is>
      </c>
      <c r="C389" s="23" t="inlineStr">
        <is>
          <t>HOSE, FLEXIBLE</t>
        </is>
      </c>
      <c r="D389" s="23" t="inlineStr"/>
      <c r="E389" s="27" t="n"/>
      <c r="F389" s="9" t="n">
        <v>3132.31</v>
      </c>
      <c r="G389" s="9">
        <f>E389*F389</f>
        <v/>
      </c>
      <c r="H389" s="9" t="n">
        <v>2395</v>
      </c>
      <c r="I389" s="9">
        <f>E389*H389</f>
        <v/>
      </c>
      <c r="J389" s="23" t="inlineStr">
        <is>
          <t>web_search</t>
        </is>
      </c>
      <c r="K389" s="23" t="inlineStr">
        <is>
          <t>Flexible hydraulic hose assembly TSS-005020</t>
        </is>
      </c>
      <c r="L389" s="23" t="inlineStr"/>
      <c r="M389" s="23" t="n"/>
    </row>
    <row r="390">
      <c r="A390" s="26" t="n">
        <v>6</v>
      </c>
      <c r="B390" s="23" t="inlineStr">
        <is>
          <t>TSS-006000</t>
        </is>
      </c>
      <c r="C390" s="23" t="inlineStr">
        <is>
          <t>HOSE, FLEXIBLE</t>
        </is>
      </c>
      <c r="D390" s="23" t="inlineStr"/>
      <c r="E390" s="27" t="n"/>
      <c r="F390" s="9" t="n">
        <v>11841.6</v>
      </c>
      <c r="G390" s="9">
        <f>E390*F390</f>
        <v/>
      </c>
      <c r="H390" s="9" t="n">
        <v>9050</v>
      </c>
      <c r="I390" s="9">
        <f>E390*H390</f>
        <v/>
      </c>
      <c r="J390" s="23" t="inlineStr">
        <is>
          <t>web_search</t>
        </is>
      </c>
      <c r="K390" s="23" t="inlineStr">
        <is>
          <t>Flexible hydraulic hose assembly TSS-006000</t>
        </is>
      </c>
      <c r="L390" s="23" t="inlineStr"/>
      <c r="M390" s="23" t="n"/>
    </row>
    <row r="391">
      <c r="A391" s="26" t="n">
        <v>7</v>
      </c>
      <c r="B391" s="23" t="inlineStr">
        <is>
          <t>TSS-007890</t>
        </is>
      </c>
      <c r="C391" s="23" t="inlineStr">
        <is>
          <t>HOSE, FLEXIBLE</t>
        </is>
      </c>
      <c r="D391" s="23" t="inlineStr"/>
      <c r="E391" s="27" t="n"/>
      <c r="F391" s="9" t="n">
        <v>11074.78</v>
      </c>
      <c r="G391" s="9">
        <f>E391*F391</f>
        <v/>
      </c>
      <c r="H391" s="9" t="n">
        <v>8470</v>
      </c>
      <c r="I391" s="9">
        <f>E391*H391</f>
        <v/>
      </c>
      <c r="J391" s="23" t="inlineStr">
        <is>
          <t>web_search</t>
        </is>
      </c>
      <c r="K391" s="23" t="inlineStr">
        <is>
          <t>Flexible hydraulic hose assembly TSS-007890</t>
        </is>
      </c>
      <c r="L391" s="23" t="inlineStr"/>
      <c r="M391" s="23" t="n"/>
    </row>
    <row r="392">
      <c r="A392" s="26" t="n">
        <v>8</v>
      </c>
      <c r="B392" s="23" t="inlineStr">
        <is>
          <t>TSS-006020</t>
        </is>
      </c>
      <c r="C392" s="23" t="inlineStr">
        <is>
          <t>HOSE, FLEXIBLE</t>
        </is>
      </c>
      <c r="D392" s="23" t="inlineStr"/>
      <c r="E392" s="27" t="n"/>
      <c r="F392" s="9" t="n">
        <v>6599.91</v>
      </c>
      <c r="G392" s="9">
        <f>E392*F392</f>
        <v/>
      </c>
      <c r="H392" s="9" t="n">
        <v>5050</v>
      </c>
      <c r="I392" s="9">
        <f>E392*H392</f>
        <v/>
      </c>
      <c r="J392" s="23" t="inlineStr">
        <is>
          <t>web_search</t>
        </is>
      </c>
      <c r="K392" s="23" t="inlineStr">
        <is>
          <t>Flexible hydraulic hose assembly TSS-006020</t>
        </is>
      </c>
      <c r="L392" s="23" t="inlineStr"/>
      <c r="M392" s="23" t="n"/>
    </row>
    <row r="393">
      <c r="A393" s="26" t="n">
        <v>9</v>
      </c>
      <c r="B393" s="23" t="inlineStr">
        <is>
          <t>TSS-009020</t>
        </is>
      </c>
      <c r="C393" s="23" t="inlineStr">
        <is>
          <t>HOSE, FLEXIBLE</t>
        </is>
      </c>
      <c r="D393" s="23" t="inlineStr"/>
      <c r="E393" s="27" t="n"/>
      <c r="F393" s="9" t="n">
        <v>8671.620000000001</v>
      </c>
      <c r="G393" s="9">
        <f>E393*F393</f>
        <v/>
      </c>
      <c r="H393" s="9" t="n">
        <v>6937.3</v>
      </c>
      <c r="I393" s="9">
        <f>E393*H393</f>
        <v/>
      </c>
      <c r="J393" s="23" t="inlineStr">
        <is>
          <t>derived_estimate</t>
        </is>
      </c>
      <c r="K393" s="23" t="inlineStr">
        <is>
          <t>Flexible hydraulic hose for power transmission</t>
        </is>
      </c>
      <c r="L393" s="23" t="inlineStr"/>
      <c r="M393" s="23" t="n"/>
    </row>
    <row r="394">
      <c r="A394" s="11" t="inlineStr">
        <is>
          <t>TOTAL</t>
        </is>
      </c>
      <c r="B394" s="11" t="n"/>
      <c r="C394" s="11" t="n"/>
      <c r="D394" s="11" t="n"/>
      <c r="E394" s="11" t="n"/>
      <c r="F394" s="11" t="n"/>
      <c r="G394" s="12">
        <f>SUM(G385:G393)</f>
        <v/>
      </c>
      <c r="H394" s="11" t="n"/>
      <c r="I394" s="12">
        <f>SUM(I385:I393)</f>
        <v/>
      </c>
      <c r="J394" s="11" t="n"/>
      <c r="K394" s="11" t="n"/>
      <c r="L394" s="11" t="n"/>
      <c r="M394" s="11" t="n"/>
    </row>
    <row r="396">
      <c r="A396" s="24" t="inlineStr">
        <is>
          <t>Schedule SPARES OF LIFTING PLATFORM</t>
        </is>
      </c>
      <c r="B396" s="5" t="n"/>
      <c r="C396" s="5" t="n"/>
      <c r="D396" s="5" t="n"/>
      <c r="E396" s="5" t="n"/>
      <c r="F396" s="5" t="n"/>
      <c r="G396" s="5" t="n"/>
      <c r="H396" s="5" t="n"/>
      <c r="I396" s="5" t="n"/>
      <c r="J396" s="5" t="n"/>
      <c r="K396" s="5" t="n"/>
      <c r="L396" s="5" t="n"/>
      <c r="M396" s="6" t="n"/>
    </row>
    <row r="397" ht="28" customHeight="1">
      <c r="A397" s="25" t="inlineStr">
        <is>
          <t>SN</t>
        </is>
      </c>
      <c r="B397" s="25" t="inlineStr">
        <is>
          <t>Item Code</t>
        </is>
      </c>
      <c r="C397" s="25" t="inlineStr">
        <is>
          <t>Item Description</t>
        </is>
      </c>
      <c r="D397" s="25" t="inlineStr">
        <is>
          <t>UoM</t>
        </is>
      </c>
      <c r="E397" s="25" t="inlineStr">
        <is>
          <t>Qty</t>
        </is>
      </c>
      <c r="F397" s="25" t="inlineStr">
        <is>
          <t>Tender Rate (₹)</t>
        </is>
      </c>
      <c r="G397" s="25" t="inlineStr">
        <is>
          <t>Tender Amount (₹)</t>
        </is>
      </c>
      <c r="H397" s="25" t="inlineStr">
        <is>
          <t>Est. Unit Cost (₹)</t>
        </is>
      </c>
      <c r="I397" s="25" t="inlineStr">
        <is>
          <t>Est. Total Cost (₹)</t>
        </is>
      </c>
      <c r="J397" s="25" t="inlineStr">
        <is>
          <t>Source</t>
        </is>
      </c>
      <c r="K397" s="25" t="inlineStr">
        <is>
          <t>Cost build-up note</t>
        </is>
      </c>
      <c r="L397" s="25" t="inlineStr">
        <is>
          <t>OEM / Manufacturer</t>
        </is>
      </c>
      <c r="M397" s="25" t="inlineStr">
        <is>
          <t>Web Source</t>
        </is>
      </c>
    </row>
    <row r="398">
      <c r="A398" s="26" t="n">
        <v>1</v>
      </c>
      <c r="B398" s="23" t="inlineStr">
        <is>
          <t>2515</t>
        </is>
      </c>
      <c r="C398" s="23" t="inlineStr">
        <is>
          <t>Seal Gear Pump</t>
        </is>
      </c>
      <c r="D398" s="23" t="inlineStr"/>
      <c r="E398" s="27" t="n"/>
      <c r="F398" s="9" t="n">
        <v>4684.81</v>
      </c>
      <c r="G398" s="9">
        <f>E398*F398</f>
        <v/>
      </c>
      <c r="H398" s="9" t="n">
        <v>3580</v>
      </c>
      <c r="I398" s="9">
        <f>E398*H398</f>
        <v/>
      </c>
      <c r="J398" s="23" t="inlineStr">
        <is>
          <t>web_search</t>
        </is>
      </c>
      <c r="K398" s="23" t="inlineStr">
        <is>
          <t>Seal kit for hydraulic gear pump</t>
        </is>
      </c>
      <c r="L398" s="23" t="inlineStr"/>
      <c r="M398" s="23" t="n"/>
    </row>
    <row r="399">
      <c r="A399" s="26" t="n">
        <v>2</v>
      </c>
      <c r="B399" s="23" t="inlineStr">
        <is>
          <t>2751</t>
        </is>
      </c>
      <c r="C399" s="23" t="inlineStr">
        <is>
          <t>Return Line Filter Element</t>
        </is>
      </c>
      <c r="D399" s="23" t="inlineStr"/>
      <c r="E399" s="27" t="n"/>
      <c r="F399" s="9" t="n">
        <v>4678.94</v>
      </c>
      <c r="G399" s="9">
        <f>E399*F399</f>
        <v/>
      </c>
      <c r="H399" s="9" t="n">
        <v>3580</v>
      </c>
      <c r="I399" s="9">
        <f>E399*H399</f>
        <v/>
      </c>
      <c r="J399" s="23" t="inlineStr">
        <is>
          <t>web_search</t>
        </is>
      </c>
      <c r="K399" s="23" t="inlineStr">
        <is>
          <t>Return line filter element for hydraulic platform</t>
        </is>
      </c>
      <c r="L399" s="23" t="inlineStr"/>
      <c r="M399" s="23" t="n"/>
    </row>
    <row r="400">
      <c r="A400" s="26" t="n">
        <v>3</v>
      </c>
      <c r="B400" s="23" t="inlineStr">
        <is>
          <t>1612</t>
        </is>
      </c>
      <c r="C400" s="23" t="inlineStr">
        <is>
          <t>Hydraulic Hoses</t>
        </is>
      </c>
      <c r="D400" s="23" t="inlineStr"/>
      <c r="E400" s="27" t="n"/>
      <c r="F400" s="9" t="n">
        <v>3867.02</v>
      </c>
      <c r="G400" s="9">
        <f>E400*F400</f>
        <v/>
      </c>
      <c r="H400" s="9" t="n">
        <v>2960</v>
      </c>
      <c r="I400" s="9">
        <f>E400*H400</f>
        <v/>
      </c>
      <c r="J400" s="23" t="inlineStr">
        <is>
          <t>web_search</t>
        </is>
      </c>
      <c r="K400" s="23" t="inlineStr">
        <is>
          <t>Hydraulic hose assembly for lifting platform</t>
        </is>
      </c>
      <c r="L400" s="23" t="inlineStr"/>
      <c r="M400" s="23" t="n"/>
    </row>
    <row r="401">
      <c r="A401" s="26" t="n">
        <v>4</v>
      </c>
      <c r="B401" s="23" t="inlineStr">
        <is>
          <t>2508</t>
        </is>
      </c>
      <c r="C401" s="23" t="inlineStr">
        <is>
          <t>Hydraulic Cylinder Seal Kit</t>
        </is>
      </c>
      <c r="D401" s="23" t="inlineStr"/>
      <c r="E401" s="27" t="n"/>
      <c r="F401" s="9" t="n">
        <v>29933.8</v>
      </c>
      <c r="G401" s="9">
        <f>E401*F401</f>
        <v/>
      </c>
      <c r="H401" s="9" t="n">
        <v>22900</v>
      </c>
      <c r="I401" s="9">
        <f>E401*H401</f>
        <v/>
      </c>
      <c r="J401" s="23" t="inlineStr">
        <is>
          <t>web_search</t>
        </is>
      </c>
      <c r="K401" s="23" t="inlineStr">
        <is>
          <t>Hydraulic cylinder seal kit for lifting platform</t>
        </is>
      </c>
      <c r="L401" s="23" t="inlineStr"/>
      <c r="M401" s="23" t="n"/>
    </row>
    <row r="402">
      <c r="A402" s="26" t="n">
        <v>5</v>
      </c>
      <c r="B402" s="23" t="inlineStr">
        <is>
          <t>SP05</t>
        </is>
      </c>
      <c r="C402" s="23" t="inlineStr">
        <is>
          <t>Copper Washer</t>
        </is>
      </c>
      <c r="D402" s="23" t="inlineStr"/>
      <c r="E402" s="27" t="n"/>
      <c r="F402" s="9" t="n">
        <v>85.86</v>
      </c>
      <c r="G402" s="9">
        <f>E402*F402</f>
        <v/>
      </c>
      <c r="H402" s="9" t="n">
        <v>65</v>
      </c>
      <c r="I402" s="9">
        <f>E402*H402</f>
        <v/>
      </c>
      <c r="J402" s="23" t="inlineStr">
        <is>
          <t>web_search</t>
        </is>
      </c>
      <c r="K402" s="23" t="inlineStr">
        <is>
          <t>Copper washer for hydraulic connections</t>
        </is>
      </c>
      <c r="L402" s="23" t="inlineStr"/>
      <c r="M402" s="23" t="n"/>
    </row>
    <row r="403">
      <c r="A403" s="26" t="n">
        <v>6</v>
      </c>
      <c r="B403" s="23" t="inlineStr">
        <is>
          <t>SP06</t>
        </is>
      </c>
      <c r="C403" s="23" t="inlineStr">
        <is>
          <t>Hardware &amp; Misc.</t>
        </is>
      </c>
      <c r="D403" s="23" t="inlineStr"/>
      <c r="E403" s="27" t="n"/>
      <c r="F403" s="9" t="n">
        <v>63.03</v>
      </c>
      <c r="G403" s="9">
        <f>E403*F403</f>
        <v/>
      </c>
      <c r="H403" s="9" t="n">
        <v>48</v>
      </c>
      <c r="I403" s="9">
        <f>E403*H403</f>
        <v/>
      </c>
      <c r="J403" s="23" t="inlineStr">
        <is>
          <t>web_search</t>
        </is>
      </c>
      <c r="K403" s="23" t="inlineStr">
        <is>
          <t>Hardware and miscellaneous fasteners</t>
        </is>
      </c>
      <c r="L403" s="23" t="inlineStr"/>
      <c r="M403" s="23" t="n"/>
    </row>
    <row r="404">
      <c r="A404" s="26" t="n">
        <v>7</v>
      </c>
      <c r="B404" s="23" t="inlineStr">
        <is>
          <t>2752</t>
        </is>
      </c>
      <c r="C404" s="23" t="inlineStr">
        <is>
          <t>Valve Mounting O-Ring Set</t>
        </is>
      </c>
      <c r="D404" s="23" t="inlineStr"/>
      <c r="E404" s="27" t="n"/>
      <c r="F404" s="9" t="n">
        <v>61.56</v>
      </c>
      <c r="G404" s="9">
        <f>E404*F404</f>
        <v/>
      </c>
      <c r="H404" s="9" t="n">
        <v>47</v>
      </c>
      <c r="I404" s="9">
        <f>E404*H404</f>
        <v/>
      </c>
      <c r="J404" s="23" t="inlineStr">
        <is>
          <t>web_search</t>
        </is>
      </c>
      <c r="K404" s="23" t="inlineStr">
        <is>
          <t>O-ring set for valve mounting</t>
        </is>
      </c>
      <c r="L404" s="23" t="inlineStr"/>
      <c r="M404" s="23" t="n"/>
    </row>
    <row r="405">
      <c r="A405" s="26" t="n">
        <v>8</v>
      </c>
      <c r="B405" s="23" t="inlineStr">
        <is>
          <t>2524</t>
        </is>
      </c>
      <c r="C405" s="23" t="inlineStr">
        <is>
          <t>Thermal Relay</t>
        </is>
      </c>
      <c r="D405" s="23" t="inlineStr"/>
      <c r="E405" s="27" t="n"/>
      <c r="F405" s="9" t="n">
        <v>7622.34</v>
      </c>
      <c r="G405" s="9">
        <f>E405*F405</f>
        <v/>
      </c>
      <c r="H405" s="9" t="n">
        <v>5830</v>
      </c>
      <c r="I405" s="9">
        <f>E405*H405</f>
        <v/>
      </c>
      <c r="J405" s="23" t="inlineStr">
        <is>
          <t>web_search</t>
        </is>
      </c>
      <c r="K405" s="23" t="inlineStr">
        <is>
          <t>Thermal relay for motor protection</t>
        </is>
      </c>
      <c r="L405" s="23" t="inlineStr"/>
      <c r="M405" s="23" t="n"/>
    </row>
    <row r="406">
      <c r="A406" s="26" t="n">
        <v>9</v>
      </c>
      <c r="B406" s="23" t="inlineStr">
        <is>
          <t>2054</t>
        </is>
      </c>
      <c r="C406" s="23" t="inlineStr">
        <is>
          <t>Control Relay</t>
        </is>
      </c>
      <c r="D406" s="23" t="inlineStr"/>
      <c r="E406" s="27" t="n"/>
      <c r="F406" s="9" t="n">
        <v>7897.91</v>
      </c>
      <c r="G406" s="9">
        <f>E406*F406</f>
        <v/>
      </c>
      <c r="H406" s="9" t="n">
        <v>6318.33</v>
      </c>
      <c r="I406" s="9">
        <f>E406*H406</f>
        <v/>
      </c>
      <c r="J406" s="23" t="inlineStr">
        <is>
          <t>derived_estimate</t>
        </is>
      </c>
      <c r="K406" s="23" t="inlineStr">
        <is>
          <t>Control relay for lifting platform electrical circuit</t>
        </is>
      </c>
      <c r="L406" s="23" t="inlineStr"/>
      <c r="M406" s="23" t="n"/>
    </row>
    <row r="407">
      <c r="A407" s="26" t="n">
        <v>10</v>
      </c>
      <c r="B407" s="23" t="inlineStr">
        <is>
          <t>2512</t>
        </is>
      </c>
      <c r="C407" s="23" t="inlineStr">
        <is>
          <t>Limit Switch</t>
        </is>
      </c>
      <c r="D407" s="23" t="inlineStr"/>
      <c r="E407" s="27" t="n"/>
      <c r="F407" s="9" t="n">
        <v>5584.83</v>
      </c>
      <c r="G407" s="9">
        <f>E407*F407</f>
        <v/>
      </c>
      <c r="H407" s="9" t="n">
        <v>4467.86</v>
      </c>
      <c r="I407" s="9">
        <f>E407*H407</f>
        <v/>
      </c>
      <c r="J407" s="23" t="inlineStr">
        <is>
          <t>derived_estimate</t>
        </is>
      </c>
      <c r="K407" s="23" t="inlineStr">
        <is>
          <t>Limit switch for platform height control</t>
        </is>
      </c>
      <c r="L407" s="23" t="inlineStr"/>
      <c r="M407" s="23" t="n"/>
    </row>
    <row r="408">
      <c r="A408" s="26" t="n">
        <v>11</v>
      </c>
      <c r="B408" s="23" t="inlineStr">
        <is>
          <t>2528</t>
        </is>
      </c>
      <c r="C408" s="23" t="inlineStr">
        <is>
          <t>Pendant Box</t>
        </is>
      </c>
      <c r="D408" s="23" t="inlineStr"/>
      <c r="E408" s="27" t="n"/>
      <c r="F408" s="9" t="n">
        <v>13072.31</v>
      </c>
      <c r="G408" s="9">
        <f>E408*F408</f>
        <v/>
      </c>
      <c r="H408" s="9" t="n">
        <v>10457.85</v>
      </c>
      <c r="I408" s="9">
        <f>E408*H408</f>
        <v/>
      </c>
      <c r="J408" s="23" t="inlineStr">
        <is>
          <t>derived_estimate</t>
        </is>
      </c>
      <c r="K408" s="23" t="inlineStr">
        <is>
          <t>Pendant control box for platform operation</t>
        </is>
      </c>
      <c r="L408" s="23" t="inlineStr"/>
      <c r="M408" s="23" t="n"/>
    </row>
    <row r="409">
      <c r="A409" s="26" t="n">
        <v>12</v>
      </c>
      <c r="B409" s="23" t="inlineStr">
        <is>
          <t>2042</t>
        </is>
      </c>
      <c r="C409" s="23" t="inlineStr">
        <is>
          <t>Direction Control Valve</t>
        </is>
      </c>
      <c r="D409" s="23" t="inlineStr"/>
      <c r="E409" s="27" t="n"/>
      <c r="F409" s="9" t="n">
        <v>38100.98</v>
      </c>
      <c r="G409" s="9">
        <f>E409*F409</f>
        <v/>
      </c>
      <c r="H409" s="9" t="n">
        <v>30480.78</v>
      </c>
      <c r="I409" s="9">
        <f>E409*H409</f>
        <v/>
      </c>
      <c r="J409" s="23" t="inlineStr">
        <is>
          <t>derived_estimate</t>
        </is>
      </c>
      <c r="K409" s="23" t="inlineStr">
        <is>
          <t>Directional control valve for hydraulic platform</t>
        </is>
      </c>
      <c r="L409" s="23" t="inlineStr"/>
      <c r="M409" s="23" t="n"/>
    </row>
    <row r="410">
      <c r="A410" s="26" t="n">
        <v>13</v>
      </c>
      <c r="B410" s="23" t="inlineStr">
        <is>
          <t>2518</t>
        </is>
      </c>
      <c r="C410" s="23" t="inlineStr">
        <is>
          <t>Pressure Relief Valve</t>
        </is>
      </c>
      <c r="D410" s="23" t="inlineStr"/>
      <c r="E410" s="27" t="n"/>
      <c r="F410" s="9" t="n">
        <v>33977.86</v>
      </c>
      <c r="G410" s="9">
        <f>E410*F410</f>
        <v/>
      </c>
      <c r="H410" s="9" t="n">
        <v>27182.29</v>
      </c>
      <c r="I410" s="9">
        <f>E410*H410</f>
        <v/>
      </c>
      <c r="J410" s="23" t="inlineStr">
        <is>
          <t>derived_estimate</t>
        </is>
      </c>
      <c r="K410" s="23" t="inlineStr">
        <is>
          <t>Pressure relief valve for hydraulic system protection</t>
        </is>
      </c>
      <c r="L410" s="23" t="inlineStr"/>
      <c r="M410" s="23" t="n"/>
    </row>
    <row r="411">
      <c r="A411" s="11" t="inlineStr">
        <is>
          <t>TOTAL</t>
        </is>
      </c>
      <c r="B411" s="11" t="n"/>
      <c r="C411" s="11" t="n"/>
      <c r="D411" s="11" t="n"/>
      <c r="E411" s="11" t="n"/>
      <c r="F411" s="11" t="n"/>
      <c r="G411" s="12">
        <f>SUM(G398:G410)</f>
        <v/>
      </c>
      <c r="H411" s="11" t="n"/>
      <c r="I411" s="12">
        <f>SUM(I398:I410)</f>
        <v/>
      </c>
      <c r="J411" s="11" t="n"/>
      <c r="K411" s="11" t="n"/>
      <c r="L411" s="11" t="n"/>
      <c r="M411" s="11" t="n"/>
    </row>
    <row r="413">
      <c r="A413" s="11" t="inlineStr">
        <is>
          <t>GRAND TOTAL</t>
        </is>
      </c>
      <c r="B413" s="11" t="n"/>
      <c r="C413" s="11" t="n"/>
      <c r="D413" s="11" t="n"/>
      <c r="E413" s="11" t="n"/>
      <c r="F413" s="11" t="n"/>
      <c r="G413" s="12">
        <f>SUM(G5,G11,G300,G313,G336,G352,G381,G394,G411)</f>
        <v/>
      </c>
      <c r="H413" s="11" t="n"/>
      <c r="I413" s="12">
        <f>SUM(I5,I11,I300,I313,I336,I352,I381,I394,I411)</f>
        <v/>
      </c>
      <c r="J413" s="11" t="n"/>
      <c r="K413" s="11" t="n"/>
      <c r="L413" s="11" t="n"/>
      <c r="M413" s="11" t="n"/>
    </row>
  </sheetData>
  <mergeCells count="20">
    <mergeCell ref="A413:F413"/>
    <mergeCell ref="A394:F394"/>
    <mergeCell ref="A381:F381"/>
    <mergeCell ref="A13:M13"/>
    <mergeCell ref="A313:F313"/>
    <mergeCell ref="A5:F5"/>
    <mergeCell ref="A338:M338"/>
    <mergeCell ref="A411:F411"/>
    <mergeCell ref="A336:F336"/>
    <mergeCell ref="A396:M396"/>
    <mergeCell ref="A1:M1"/>
    <mergeCell ref="A383:M383"/>
    <mergeCell ref="A315:M315"/>
    <mergeCell ref="A354:M354"/>
    <mergeCell ref="A7:M7"/>
    <mergeCell ref="A352:F352"/>
    <mergeCell ref="A11:F11"/>
    <mergeCell ref="A300:F300"/>
    <mergeCell ref="A2:M2"/>
    <mergeCell ref="A302:M302"/>
  </mergeCells>
  <hyperlinks>
    <hyperlink xmlns:r="http://schemas.openxmlformats.org/officeDocument/2006/relationships" ref="M2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2026-08-02T06:12:27Z</dcterms:created>
  <dcterms:modified xmlns:dcterms="http://purl.org/dc/terms/" xmlns:xsi="http://www.w3.org/2001/XMLSchema-instance" xsi:type="dcterms:W3CDTF">2026-08-02T06:12:27Z</dcterms:modified>
</cp:coreProperties>
</file>